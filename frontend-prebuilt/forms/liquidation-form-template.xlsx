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ivision 3 and 8\LIQUIDATION\"/>
    </mc:Choice>
  </mc:AlternateContent>
  <xr:revisionPtr revIDLastSave="0" documentId="13_ncr:1_{7ADE49F4-4D1F-4CAD-A94F-9205C288E756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leyte" sheetId="1" state="hidden" r:id="rId1"/>
    <sheet name="bacolod" sheetId="2" state="hidden" r:id="rId2"/>
    <sheet name="jonemae" sheetId="3" state="hidden" r:id="rId3"/>
    <sheet name="Liquidation TAR " sheetId="4" r:id="rId4"/>
  </sheets>
  <definedNames>
    <definedName name="_xlnm.Print_Area" localSheetId="3">'Liquidation TAR '!$A$1:$L$74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7" i="4" l="1"/>
  <c r="I57" i="4"/>
  <c r="H57" i="4"/>
  <c r="G57" i="4"/>
  <c r="F57" i="4"/>
  <c r="K75" i="3"/>
  <c r="K76" i="3" s="1"/>
  <c r="J75" i="3"/>
  <c r="I75" i="3"/>
  <c r="H75" i="3"/>
  <c r="G75" i="3"/>
  <c r="L77" i="3" s="1"/>
  <c r="L79" i="3" s="1"/>
  <c r="F75" i="3"/>
  <c r="K60" i="2"/>
  <c r="K61" i="2" s="1"/>
  <c r="J60" i="2"/>
  <c r="I60" i="2"/>
  <c r="H60" i="2"/>
  <c r="G60" i="2"/>
  <c r="F60" i="2"/>
  <c r="L62" i="2" s="1"/>
  <c r="L64" i="2" s="1"/>
  <c r="K42" i="1"/>
  <c r="K43" i="1" s="1"/>
  <c r="J42" i="1"/>
  <c r="I42" i="1"/>
  <c r="H42" i="1"/>
  <c r="G42" i="1"/>
  <c r="F42" i="1"/>
  <c r="L44" i="1" s="1"/>
  <c r="L46" i="1" s="1"/>
  <c r="L59" i="4" l="1"/>
  <c r="L61" i="4" s="1"/>
  <c r="J61" i="4" s="1"/>
</calcChain>
</file>

<file path=xl/sharedStrings.xml><?xml version="1.0" encoding="utf-8"?>
<sst xmlns="http://schemas.openxmlformats.org/spreadsheetml/2006/main" count="395" uniqueCount="160">
  <si>
    <t>LIFEBANK FOUNDATION, INC.</t>
  </si>
  <si>
    <t>"we excel, we care, we share"</t>
  </si>
  <si>
    <t>TRAVEL EXPENSE REPORT</t>
  </si>
  <si>
    <t>Name:  EMELY P. ESTEVA</t>
  </si>
  <si>
    <t>Date: October 3 - 13, 2017</t>
  </si>
  <si>
    <t>Designation: ASSISTANT 1</t>
  </si>
  <si>
    <t>Base: Central Office</t>
  </si>
  <si>
    <t>Purpose of Travel: FS Reconciliation</t>
  </si>
  <si>
    <t>Date</t>
  </si>
  <si>
    <t>Time</t>
  </si>
  <si>
    <t>From</t>
  </si>
  <si>
    <t>TO</t>
  </si>
  <si>
    <t>Mode of transportation</t>
  </si>
  <si>
    <t xml:space="preserve">Amount </t>
  </si>
  <si>
    <t>Per Diem</t>
  </si>
  <si>
    <t>Meals</t>
  </si>
  <si>
    <t>Others</t>
  </si>
  <si>
    <t>Remarks</t>
  </si>
  <si>
    <t>B</t>
  </si>
  <si>
    <t>L</t>
  </si>
  <si>
    <t>D</t>
  </si>
  <si>
    <t>Bangga Bansag</t>
  </si>
  <si>
    <t>Sta. Barbara</t>
  </si>
  <si>
    <t>Bicycle</t>
  </si>
  <si>
    <t>Terminal Fee</t>
  </si>
  <si>
    <t>Sampaguita Village</t>
  </si>
  <si>
    <t>U353</t>
  </si>
  <si>
    <t>Pedicab</t>
  </si>
  <si>
    <t>Bangga Utap</t>
  </si>
  <si>
    <t>Van-Vans Terminal</t>
  </si>
  <si>
    <t>Tricycle</t>
  </si>
  <si>
    <t>Bato Terminal</t>
  </si>
  <si>
    <t>Van</t>
  </si>
  <si>
    <t>U305</t>
  </si>
  <si>
    <t>Ormoc Terminal</t>
  </si>
  <si>
    <t>U304</t>
  </si>
  <si>
    <t>Tacloban Terminal</t>
  </si>
  <si>
    <t>Jeep</t>
  </si>
  <si>
    <t>Sampguita Village</t>
  </si>
  <si>
    <t>Airport</t>
  </si>
  <si>
    <t>Iloilo Airport</t>
  </si>
  <si>
    <t>Ungka Terminal</t>
  </si>
  <si>
    <t>House</t>
  </si>
  <si>
    <t>TOTAL</t>
  </si>
  <si>
    <t>Less: CA</t>
  </si>
  <si>
    <t>Prepared by:</t>
  </si>
  <si>
    <t>Checked by:</t>
  </si>
  <si>
    <t>Approved by:</t>
  </si>
  <si>
    <t>EMELY P. ESTEVA</t>
  </si>
  <si>
    <t>ROMEL GAMAYON</t>
  </si>
  <si>
    <t>SHIELA MAAGMA, CPA</t>
  </si>
  <si>
    <t>Assistant 1, CD</t>
  </si>
  <si>
    <t>Manager 1, CD</t>
  </si>
  <si>
    <t>Head, Controller's Deartment</t>
  </si>
  <si>
    <t>Name:  CHRISTINE R. ARGONCILLO</t>
  </si>
  <si>
    <t>Date: JUNE 20 - JULY 1, 2016</t>
  </si>
  <si>
    <t>Designation: Asst. 1</t>
  </si>
  <si>
    <t>Purpose of Travel: FS &amp; Passbook Checking &amp; Reconciliation</t>
  </si>
  <si>
    <t>Bhauz</t>
  </si>
  <si>
    <t>CO</t>
  </si>
  <si>
    <t>PUJ</t>
  </si>
  <si>
    <t>Iloilo Port</t>
  </si>
  <si>
    <t>Taxi</t>
  </si>
  <si>
    <t>c/o Maam Jonemae</t>
  </si>
  <si>
    <t>Bacolod Port</t>
  </si>
  <si>
    <t>FastCraft</t>
  </si>
  <si>
    <t>SuperCat Ticket</t>
  </si>
  <si>
    <t>Ceres Terminal</t>
  </si>
  <si>
    <t>c/o Sir Romel Gamayon</t>
  </si>
  <si>
    <t>Sagay Bus Terminal</t>
  </si>
  <si>
    <t>Bus</t>
  </si>
  <si>
    <t>Sagay Unit Office</t>
  </si>
  <si>
    <t>Escalante Plaza</t>
  </si>
  <si>
    <t>Escalante unit Office</t>
  </si>
  <si>
    <t>Cadiz Bus Terminal</t>
  </si>
  <si>
    <t>Cadiz unit Office</t>
  </si>
  <si>
    <t>Bacolod Ceres Terminal</t>
  </si>
  <si>
    <t>SM City</t>
  </si>
  <si>
    <t>Unit 35 Office</t>
  </si>
  <si>
    <t>stay -in</t>
  </si>
  <si>
    <t>Unit 36 Office</t>
  </si>
  <si>
    <t>LUPUES East</t>
  </si>
  <si>
    <t>Tangub Highway</t>
  </si>
  <si>
    <t>Unit 34 Office</t>
  </si>
  <si>
    <t>Trisikad</t>
  </si>
  <si>
    <t>stay-in</t>
  </si>
  <si>
    <t>SuperCat ticket</t>
  </si>
  <si>
    <t>Terminal fee</t>
  </si>
  <si>
    <t>with Sir Romel and Maam Daryn</t>
  </si>
  <si>
    <t>Christine R. Argoncillo</t>
  </si>
  <si>
    <t>Sheena Mae P.Muel</t>
  </si>
  <si>
    <t>Sheila Maagma</t>
  </si>
  <si>
    <t>Name:  JONEMAE L. LEGADA</t>
  </si>
  <si>
    <t>Date: Sept. 26, 2016 - October 7, 2016</t>
  </si>
  <si>
    <t>Designation: Sen. Assistant - Controllers Department</t>
  </si>
  <si>
    <t>7:30am</t>
  </si>
  <si>
    <t>Apartment</t>
  </si>
  <si>
    <t>CPU</t>
  </si>
  <si>
    <t>trisikad</t>
  </si>
  <si>
    <t>MIS</t>
  </si>
  <si>
    <t>MIS - Red Plaza</t>
  </si>
  <si>
    <t>PPA</t>
  </si>
  <si>
    <t>c/o Sir Romel</t>
  </si>
  <si>
    <t>ILOILO</t>
  </si>
  <si>
    <t>BACOLOD</t>
  </si>
  <si>
    <t>terminal fee</t>
  </si>
  <si>
    <t>Pier</t>
  </si>
  <si>
    <t>tricycle</t>
  </si>
  <si>
    <t>Commercial Building</t>
  </si>
  <si>
    <t>DO</t>
  </si>
  <si>
    <t>TAXI</t>
  </si>
  <si>
    <t>Commercial Office</t>
  </si>
  <si>
    <t>puj</t>
  </si>
  <si>
    <t>South Terminal</t>
  </si>
  <si>
    <t>u42 - highway</t>
  </si>
  <si>
    <t>bus</t>
  </si>
  <si>
    <t>u42 - bago office</t>
  </si>
  <si>
    <t>u42 bago office</t>
  </si>
  <si>
    <t>PNP highway station</t>
  </si>
  <si>
    <t>Hinigaran terminal</t>
  </si>
  <si>
    <t>Hinigaran Terminal</t>
  </si>
  <si>
    <t>Unit Office</t>
  </si>
  <si>
    <t>hinigaran</t>
  </si>
  <si>
    <t>ceres terminal</t>
  </si>
  <si>
    <t>bacolod</t>
  </si>
  <si>
    <t>BUS</t>
  </si>
  <si>
    <t>lopues east</t>
  </si>
  <si>
    <t>c/o Mam Rhodz</t>
  </si>
  <si>
    <t>u35</t>
  </si>
  <si>
    <t>STAY IN TO UNIT 35 OFFICE</t>
  </si>
  <si>
    <t>South Ceres Terminal</t>
  </si>
  <si>
    <t>Bago Market</t>
  </si>
  <si>
    <t>Unit Bago</t>
  </si>
  <si>
    <t>TRICYCLE</t>
  </si>
  <si>
    <t xml:space="preserve">Gasoline Station </t>
  </si>
  <si>
    <t>South Ceres Term. Bacolod</t>
  </si>
  <si>
    <t>taxi</t>
  </si>
  <si>
    <t>Andoks/ SM City</t>
  </si>
  <si>
    <t>Supercat Teminal</t>
  </si>
  <si>
    <t>Bacolod Cty</t>
  </si>
  <si>
    <t>Iloilo City</t>
  </si>
  <si>
    <t>2Go</t>
  </si>
  <si>
    <t>Terminal Feee</t>
  </si>
  <si>
    <t>Atrium</t>
  </si>
  <si>
    <t>Lambunao Market</t>
  </si>
  <si>
    <t>Home</t>
  </si>
  <si>
    <t>Motorcycle</t>
  </si>
  <si>
    <t>JONEMAE L. LEGADA</t>
  </si>
  <si>
    <t>SHEENA ME P. MUEL</t>
  </si>
  <si>
    <t>SHIELA MAAGMA</t>
  </si>
  <si>
    <t>Sen. Asst.</t>
  </si>
  <si>
    <t>Supervisor</t>
  </si>
  <si>
    <t>Head - Controllers Department</t>
  </si>
  <si>
    <r>
      <rPr>
        <b/>
        <sz val="11"/>
        <rFont val="Calibri"/>
        <family val="2"/>
        <scheme val="minor"/>
      </rPr>
      <t>Designation:</t>
    </r>
    <r>
      <rPr>
        <sz val="11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>Field Engineer</t>
    </r>
  </si>
  <si>
    <r>
      <rPr>
        <b/>
        <sz val="11"/>
        <rFont val="Calibri"/>
        <family val="2"/>
        <scheme val="minor"/>
      </rPr>
      <t>Purpose:</t>
    </r>
    <r>
      <rPr>
        <sz val="11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>TAR, Staff Benefits &amp; Other Expenses</t>
    </r>
  </si>
  <si>
    <t>Total Expenses</t>
  </si>
  <si>
    <t>Total CA</t>
  </si>
  <si>
    <r>
      <rPr>
        <b/>
        <sz val="11"/>
        <rFont val="Calibri"/>
        <family val="2"/>
        <scheme val="minor"/>
      </rPr>
      <t>Date:</t>
    </r>
    <r>
      <rPr>
        <sz val="11"/>
        <rFont val="Calibri"/>
        <family val="2"/>
        <scheme val="minor"/>
      </rPr>
      <t xml:space="preserve"> March 23, 2026</t>
    </r>
  </si>
  <si>
    <r>
      <rPr>
        <b/>
        <sz val="11"/>
        <rFont val="Calibri"/>
        <family val="2"/>
        <scheme val="minor"/>
      </rPr>
      <t>Base:</t>
    </r>
    <r>
      <rPr>
        <sz val="11"/>
        <rFont val="Calibri"/>
        <family val="2"/>
        <scheme val="minor"/>
      </rPr>
      <t xml:space="preserve"> District 32 Kabankalan</t>
    </r>
  </si>
  <si>
    <r>
      <rPr>
        <b/>
        <sz val="11"/>
        <rFont val="Calibri"/>
        <family val="2"/>
        <scheme val="minor"/>
      </rPr>
      <t>Name:</t>
    </r>
    <r>
      <rPr>
        <sz val="11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>Resty B. Porras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</si>
</sst>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[$-409]dd\-mmm\-yy;@"/>
    <numFmt numFmtId="166" formatCode="#,##0.00;[Red]#,##0.00"/>
    <numFmt numFmtId="167" formatCode="_([$PHP]\ * #,##0.00_);_([$PHP]\ * \(#,##0.00\);_([$PHP]\ * &quot;-&quot;??_);_(@_)"/>
  </numFmts>
  <fonts count="23" x14ac:knownFonts="1">
    <font>
      <sz val="10"/>
      <color theme="1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8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indexed="2"/>
      <name val="Calibri"/>
      <family val="2"/>
      <scheme val="minor"/>
    </font>
    <font>
      <b/>
      <sz val="10"/>
      <color indexed="2"/>
      <name val="Calibri"/>
      <family val="2"/>
      <scheme val="minor"/>
    </font>
    <font>
      <u/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Protection="0"/>
  </cellStyleXfs>
  <cellXfs count="237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164" fontId="1" fillId="2" borderId="0" xfId="0" applyNumberFormat="1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/>
    <xf numFmtId="2" fontId="3" fillId="2" borderId="7" xfId="0" applyNumberFormat="1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left"/>
    </xf>
    <xf numFmtId="18" fontId="1" fillId="2" borderId="7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43" fontId="1" fillId="2" borderId="7" xfId="1" applyFont="1" applyFill="1" applyBorder="1" applyAlignment="1">
      <alignment horizontal="center"/>
    </xf>
    <xf numFmtId="2" fontId="1" fillId="2" borderId="6" xfId="1" applyNumberFormat="1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2" borderId="7" xfId="1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43" fontId="1" fillId="2" borderId="5" xfId="1" applyFont="1" applyFill="1" applyBorder="1" applyAlignment="1">
      <alignment horizontal="center"/>
    </xf>
    <xf numFmtId="166" fontId="1" fillId="2" borderId="7" xfId="1" applyNumberFormat="1" applyFont="1" applyFill="1" applyBorder="1" applyAlignment="1">
      <alignment horizontal="center"/>
    </xf>
    <xf numFmtId="164" fontId="1" fillId="0" borderId="7" xfId="0" applyNumberFormat="1" applyFont="1" applyBorder="1" applyAlignment="1">
      <alignment horizontal="left"/>
    </xf>
    <xf numFmtId="2" fontId="1" fillId="2" borderId="7" xfId="1" applyNumberFormat="1" applyFont="1" applyFill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43" fontId="2" fillId="2" borderId="7" xfId="1" applyFont="1" applyFill="1" applyBorder="1"/>
    <xf numFmtId="2" fontId="2" fillId="2" borderId="7" xfId="1" applyNumberFormat="1" applyFont="1" applyFill="1" applyBorder="1"/>
    <xf numFmtId="43" fontId="2" fillId="2" borderId="0" xfId="1" applyFont="1" applyFill="1"/>
    <xf numFmtId="164" fontId="3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/>
    <xf numFmtId="2" fontId="3" fillId="0" borderId="0" xfId="0" applyNumberFormat="1" applyFont="1"/>
    <xf numFmtId="0" fontId="3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4" fillId="0" borderId="0" xfId="0" applyFont="1"/>
    <xf numFmtId="0" fontId="4" fillId="2" borderId="0" xfId="0" applyFont="1" applyFill="1"/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center"/>
    </xf>
    <xf numFmtId="16" fontId="4" fillId="2" borderId="7" xfId="0" applyNumberFormat="1" applyFont="1" applyFill="1" applyBorder="1" applyAlignment="1">
      <alignment horizontal="center"/>
    </xf>
    <xf numFmtId="20" fontId="4" fillId="2" borderId="7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43" fontId="4" fillId="2" borderId="7" xfId="1" applyFont="1" applyFill="1" applyBorder="1" applyAlignment="1">
      <alignment horizontal="center"/>
    </xf>
    <xf numFmtId="43" fontId="4" fillId="2" borderId="6" xfId="1" applyFont="1" applyFill="1" applyBorder="1" applyAlignment="1">
      <alignment horizontal="center"/>
    </xf>
    <xf numFmtId="0" fontId="4" fillId="2" borderId="7" xfId="0" applyFont="1" applyFill="1" applyBorder="1"/>
    <xf numFmtId="164" fontId="4" fillId="2" borderId="7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4" fillId="0" borderId="7" xfId="0" applyFont="1" applyBorder="1"/>
    <xf numFmtId="43" fontId="4" fillId="2" borderId="5" xfId="1" applyFont="1" applyFill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20" fontId="4" fillId="2" borderId="3" xfId="0" applyNumberFormat="1" applyFont="1" applyFill="1" applyBorder="1" applyAlignment="1">
      <alignment horizontal="center"/>
    </xf>
    <xf numFmtId="15" fontId="4" fillId="2" borderId="7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/>
    <xf numFmtId="43" fontId="5" fillId="2" borderId="7" xfId="1" applyFont="1" applyFill="1" applyBorder="1"/>
    <xf numFmtId="43" fontId="5" fillId="2" borderId="0" xfId="1" applyFont="1" applyFill="1"/>
    <xf numFmtId="0" fontId="6" fillId="2" borderId="0" xfId="0" applyFont="1" applyFill="1"/>
    <xf numFmtId="0" fontId="6" fillId="0" borderId="0" xfId="0" applyFont="1" applyAlignment="1">
      <alignment wrapText="1"/>
    </xf>
    <xf numFmtId="0" fontId="6" fillId="0" borderId="0" xfId="0" applyFont="1"/>
    <xf numFmtId="0" fontId="6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0" fillId="2" borderId="0" xfId="0" applyFont="1" applyFill="1"/>
    <xf numFmtId="43" fontId="10" fillId="2" borderId="7" xfId="1" applyFont="1" applyFill="1" applyBorder="1" applyAlignment="1">
      <alignment horizontal="center"/>
    </xf>
    <xf numFmtId="43" fontId="10" fillId="2" borderId="6" xfId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wrapText="1"/>
    </xf>
    <xf numFmtId="43" fontId="10" fillId="2" borderId="5" xfId="1" applyFont="1" applyFill="1" applyBorder="1" applyAlignment="1">
      <alignment horizontal="center"/>
    </xf>
    <xf numFmtId="43" fontId="11" fillId="2" borderId="7" xfId="1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0" fillId="0" borderId="0" xfId="0" applyFont="1"/>
    <xf numFmtId="164" fontId="10" fillId="2" borderId="0" xfId="0" applyNumberFormat="1" applyFont="1" applyFill="1" applyAlignment="1">
      <alignment horizontal="left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2" fontId="10" fillId="2" borderId="0" xfId="0" applyNumberFormat="1" applyFont="1" applyFill="1"/>
    <xf numFmtId="164" fontId="10" fillId="2" borderId="0" xfId="0" applyNumberFormat="1" applyFont="1" applyFill="1" applyAlignment="1" applyProtection="1">
      <alignment horizontal="left"/>
      <protection locked="0"/>
    </xf>
    <xf numFmtId="0" fontId="10" fillId="2" borderId="0" xfId="0" applyFont="1" applyFill="1" applyAlignment="1" applyProtection="1">
      <alignment horizontal="center" vertical="center"/>
      <protection locked="0"/>
    </xf>
    <xf numFmtId="2" fontId="15" fillId="2" borderId="13" xfId="0" applyNumberFormat="1" applyFont="1" applyFill="1" applyBorder="1" applyAlignment="1">
      <alignment horizontal="center" vertical="center"/>
    </xf>
    <xf numFmtId="164" fontId="4" fillId="0" borderId="19" xfId="0" applyNumberFormat="1" applyFont="1" applyBorder="1" applyAlignment="1" applyProtection="1">
      <alignment horizontal="center" vertical="center"/>
      <protection locked="0"/>
    </xf>
    <xf numFmtId="164" fontId="4" fillId="0" borderId="20" xfId="0" applyNumberFormat="1" applyFont="1" applyBorder="1" applyAlignment="1" applyProtection="1">
      <alignment horizontal="center" vertical="center"/>
      <protection locked="0"/>
    </xf>
    <xf numFmtId="164" fontId="4" fillId="0" borderId="20" xfId="0" applyNumberFormat="1" applyFont="1" applyBorder="1" applyAlignment="1" applyProtection="1">
      <alignment horizontal="center" vertical="center" wrapText="1"/>
      <protection locked="0"/>
    </xf>
    <xf numFmtId="4" fontId="4" fillId="0" borderId="20" xfId="0" applyNumberFormat="1" applyFont="1" applyBorder="1" applyAlignment="1" applyProtection="1">
      <alignment horizontal="center" vertical="center"/>
      <protection locked="0"/>
    </xf>
    <xf numFmtId="2" fontId="4" fillId="0" borderId="20" xfId="0" applyNumberFormat="1" applyFont="1" applyBorder="1" applyAlignment="1" applyProtection="1">
      <alignment horizontal="center" vertical="center"/>
      <protection locked="0"/>
    </xf>
    <xf numFmtId="164" fontId="4" fillId="0" borderId="20" xfId="0" applyNumberFormat="1" applyFont="1" applyBorder="1" applyAlignment="1" applyProtection="1">
      <alignment vertical="center"/>
      <protection locked="0"/>
    </xf>
    <xf numFmtId="164" fontId="4" fillId="0" borderId="21" xfId="0" applyNumberFormat="1" applyFont="1" applyBorder="1" applyAlignment="1" applyProtection="1">
      <alignment horizontal="center" vertical="center" wrapText="1"/>
      <protection locked="0"/>
    </xf>
    <xf numFmtId="164" fontId="4" fillId="0" borderId="22" xfId="0" applyNumberFormat="1" applyFont="1" applyBorder="1" applyAlignment="1" applyProtection="1">
      <alignment horizontal="center" vertical="center"/>
      <protection locked="0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164" fontId="4" fillId="0" borderId="6" xfId="0" applyNumberFormat="1" applyFont="1" applyBorder="1" applyAlignment="1" applyProtection="1">
      <alignment horizontal="center" vertical="center" wrapText="1"/>
      <protection locked="0"/>
    </xf>
    <xf numFmtId="4" fontId="4" fillId="0" borderId="6" xfId="0" applyNumberFormat="1" applyFont="1" applyBorder="1" applyAlignment="1" applyProtection="1">
      <alignment horizontal="center" vertical="center"/>
      <protection locked="0"/>
    </xf>
    <xf numFmtId="2" fontId="4" fillId="0" borderId="6" xfId="0" applyNumberFormat="1" applyFont="1" applyBorder="1" applyAlignment="1" applyProtection="1">
      <alignment horizontal="center" vertical="center"/>
      <protection locked="0"/>
    </xf>
    <xf numFmtId="164" fontId="4" fillId="0" borderId="6" xfId="0" applyNumberFormat="1" applyFont="1" applyBorder="1" applyAlignment="1" applyProtection="1">
      <alignment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164" fontId="4" fillId="0" borderId="7" xfId="0" applyNumberFormat="1" applyFont="1" applyBorder="1" applyAlignment="1" applyProtection="1">
      <alignment horizontal="center" vertical="center"/>
      <protection locked="0"/>
    </xf>
    <xf numFmtId="164" fontId="4" fillId="0" borderId="7" xfId="0" applyNumberFormat="1" applyFont="1" applyBorder="1" applyAlignment="1" applyProtection="1">
      <alignment horizontal="center" vertical="center" wrapText="1"/>
      <protection locked="0"/>
    </xf>
    <xf numFmtId="4" fontId="4" fillId="0" borderId="7" xfId="0" applyNumberFormat="1" applyFont="1" applyBorder="1" applyAlignment="1" applyProtection="1">
      <alignment horizontal="center" vertical="center"/>
      <protection locked="0"/>
    </xf>
    <xf numFmtId="2" fontId="4" fillId="0" borderId="7" xfId="0" applyNumberFormat="1" applyFont="1" applyBorder="1" applyAlignment="1" applyProtection="1">
      <alignment horizontal="center" vertical="center"/>
      <protection locked="0"/>
    </xf>
    <xf numFmtId="164" fontId="4" fillId="0" borderId="7" xfId="0" applyNumberFormat="1" applyFont="1" applyBorder="1" applyAlignment="1" applyProtection="1">
      <alignment vertical="center"/>
      <protection locked="0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164" fontId="4" fillId="0" borderId="25" xfId="0" applyNumberFormat="1" applyFont="1" applyBorder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164" fontId="4" fillId="2" borderId="24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4" fontId="5" fillId="2" borderId="7" xfId="1" applyNumberFormat="1" applyFont="1" applyFill="1" applyBorder="1" applyAlignment="1" applyProtection="1">
      <alignment horizontal="center" vertical="center" wrapText="1"/>
    </xf>
    <xf numFmtId="43" fontId="5" fillId="2" borderId="7" xfId="1" applyFont="1" applyFill="1" applyBorder="1" applyProtection="1"/>
    <xf numFmtId="0" fontId="5" fillId="2" borderId="25" xfId="1" applyNumberFormat="1" applyFont="1" applyFill="1" applyBorder="1" applyAlignment="1" applyProtection="1">
      <alignment horizontal="center" vertical="center"/>
    </xf>
    <xf numFmtId="164" fontId="4" fillId="2" borderId="26" xfId="0" applyNumberFormat="1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43" fontId="5" fillId="2" borderId="27" xfId="1" applyFont="1" applyFill="1" applyBorder="1" applyProtection="1"/>
    <xf numFmtId="2" fontId="5" fillId="2" borderId="27" xfId="1" applyNumberFormat="1" applyFont="1" applyFill="1" applyBorder="1" applyProtection="1"/>
    <xf numFmtId="0" fontId="5" fillId="2" borderId="28" xfId="1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167" fontId="11" fillId="2" borderId="31" xfId="1" applyNumberFormat="1" applyFont="1" applyFill="1" applyBorder="1" applyAlignment="1" applyProtection="1">
      <alignment horizontal="right" vertical="center"/>
    </xf>
    <xf numFmtId="43" fontId="16" fillId="2" borderId="32" xfId="1" applyFont="1" applyFill="1" applyBorder="1" applyAlignment="1" applyProtection="1">
      <alignment horizontal="right" vertical="center"/>
    </xf>
    <xf numFmtId="43" fontId="16" fillId="2" borderId="0" xfId="1" applyFont="1" applyFill="1" applyAlignment="1" applyProtection="1">
      <alignment horizontal="right" vertical="center"/>
    </xf>
    <xf numFmtId="167" fontId="11" fillId="2" borderId="33" xfId="1" applyNumberFormat="1" applyFont="1" applyFill="1" applyBorder="1" applyAlignment="1" applyProtection="1">
      <alignment horizontal="right" vertical="center"/>
      <protection locked="0"/>
    </xf>
    <xf numFmtId="43" fontId="17" fillId="2" borderId="31" xfId="1" applyFont="1" applyFill="1" applyBorder="1" applyAlignment="1" applyProtection="1">
      <alignment horizontal="right" vertical="center"/>
    </xf>
    <xf numFmtId="43" fontId="17" fillId="2" borderId="0" xfId="1" applyFont="1" applyFill="1" applyAlignment="1" applyProtection="1">
      <alignment horizontal="right" vertical="center"/>
      <protection locked="0"/>
    </xf>
    <xf numFmtId="167" fontId="18" fillId="2" borderId="33" xfId="1" applyNumberFormat="1" applyFont="1" applyFill="1" applyBorder="1" applyAlignment="1" applyProtection="1">
      <alignment horizontal="right" vertical="center"/>
    </xf>
    <xf numFmtId="0" fontId="19" fillId="2" borderId="0" xfId="1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2" fontId="4" fillId="0" borderId="0" xfId="0" applyNumberFormat="1" applyFont="1"/>
    <xf numFmtId="164" fontId="6" fillId="2" borderId="0" xfId="0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0" fontId="20" fillId="0" borderId="0" xfId="0" applyFont="1"/>
    <xf numFmtId="0" fontId="21" fillId="2" borderId="0" xfId="0" applyFont="1" applyFill="1"/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4" fillId="0" borderId="23" xfId="0" applyNumberFormat="1" applyFont="1" applyBorder="1" applyAlignment="1" applyProtection="1">
      <alignment horizontal="center" vertical="center" wrapText="1"/>
      <protection locked="0"/>
    </xf>
    <xf numFmtId="4" fontId="10" fillId="0" borderId="0" xfId="0" applyNumberFormat="1" applyFont="1" applyAlignment="1">
      <alignment horizontal="center"/>
    </xf>
    <xf numFmtId="4" fontId="4" fillId="0" borderId="6" xfId="0" applyNumberFormat="1" applyFont="1" applyBorder="1" applyAlignment="1" applyProtection="1">
      <alignment horizontal="center" vertical="center" wrapText="1"/>
      <protection locked="0"/>
    </xf>
    <xf numFmtId="4" fontId="4" fillId="0" borderId="7" xfId="0" applyNumberFormat="1" applyFont="1" applyBorder="1" applyAlignment="1" applyProtection="1">
      <alignment horizontal="center" vertical="center" wrapText="1"/>
      <protection locked="0"/>
    </xf>
    <xf numFmtId="4" fontId="5" fillId="0" borderId="7" xfId="1" applyNumberFormat="1" applyFont="1" applyFill="1" applyBorder="1" applyAlignment="1" applyProtection="1">
      <alignment horizontal="center" vertical="center" wrapText="1"/>
    </xf>
    <xf numFmtId="4" fontId="5" fillId="0" borderId="27" xfId="1" applyNumberFormat="1" applyFont="1" applyFill="1" applyBorder="1" applyAlignment="1" applyProtection="1">
      <alignment horizontal="center"/>
    </xf>
    <xf numFmtId="4" fontId="5" fillId="0" borderId="0" xfId="1" applyNumberFormat="1" applyFont="1" applyFill="1" applyAlignment="1">
      <alignment horizontal="center"/>
    </xf>
    <xf numFmtId="4" fontId="4" fillId="0" borderId="0" xfId="0" applyNumberFormat="1" applyFont="1" applyAlignment="1">
      <alignment horizontal="center"/>
    </xf>
    <xf numFmtId="4" fontId="21" fillId="0" borderId="0" xfId="0" applyNumberFormat="1" applyFont="1"/>
    <xf numFmtId="4" fontId="1" fillId="0" borderId="0" xfId="0" applyNumberFormat="1" applyFont="1" applyAlignment="1">
      <alignment horizontal="center"/>
    </xf>
    <xf numFmtId="4" fontId="4" fillId="0" borderId="20" xfId="0" applyNumberFormat="1" applyFont="1" applyBorder="1" applyAlignment="1" applyProtection="1">
      <alignment horizontal="center" vertical="center" wrapText="1"/>
      <protection locked="0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3" fontId="16" fillId="2" borderId="29" xfId="1" applyFont="1" applyFill="1" applyBorder="1" applyAlignment="1" applyProtection="1">
      <alignment horizontal="right" vertical="center"/>
    </xf>
    <xf numFmtId="43" fontId="16" fillId="2" borderId="30" xfId="1" applyFont="1" applyFill="1" applyBorder="1" applyAlignment="1" applyProtection="1">
      <alignment horizontal="right" vertical="center"/>
    </xf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2" fontId="6" fillId="2" borderId="17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 applyProtection="1">
      <alignment horizontal="left"/>
      <protection locked="0"/>
    </xf>
    <xf numFmtId="165" fontId="10" fillId="2" borderId="0" xfId="0" applyNumberFormat="1" applyFont="1" applyFill="1" applyAlignment="1" applyProtection="1">
      <alignment horizontal="left"/>
      <protection locked="0"/>
    </xf>
    <xf numFmtId="0" fontId="1" fillId="2" borderId="0" xfId="0" applyFont="1" applyFill="1" applyAlignment="1">
      <alignment horizontal="center"/>
    </xf>
    <xf numFmtId="164" fontId="15" fillId="2" borderId="13" xfId="0" applyNumberFormat="1" applyFont="1" applyFill="1" applyBorder="1" applyAlignment="1">
      <alignment horizontal="center" vertical="center"/>
    </xf>
    <xf numFmtId="164" fontId="15" fillId="2" borderId="18" xfId="0" applyNumberFormat="1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4" fontId="6" fillId="0" borderId="13" xfId="0" applyNumberFormat="1" applyFont="1" applyBorder="1" applyAlignment="1">
      <alignment horizontal="center" vertical="center"/>
    </xf>
    <xf numFmtId="4" fontId="6" fillId="0" borderId="18" xfId="0" applyNumberFormat="1" applyFont="1" applyBorder="1" applyAlignment="1">
      <alignment horizontal="center" vertical="center"/>
    </xf>
    <xf numFmtId="2" fontId="6" fillId="2" borderId="14" xfId="0" applyNumberFormat="1" applyFont="1" applyFill="1" applyBorder="1" applyAlignment="1">
      <alignment horizontal="center"/>
    </xf>
    <xf numFmtId="2" fontId="6" fillId="2" borderId="15" xfId="0" applyNumberFormat="1" applyFont="1" applyFill="1" applyBorder="1" applyAlignment="1">
      <alignment horizontal="center"/>
    </xf>
    <xf numFmtId="2" fontId="6" fillId="2" borderId="16" xfId="0" applyNumberFormat="1" applyFont="1" applyFill="1" applyBorder="1" applyAlignment="1">
      <alignment horizontal="center"/>
    </xf>
    <xf numFmtId="0" fontId="15" fillId="2" borderId="13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43" fontId="2" fillId="2" borderId="8" xfId="1" applyFont="1" applyFill="1" applyBorder="1" applyAlignment="1">
      <alignment horizontal="right"/>
    </xf>
    <xf numFmtId="43" fontId="2" fillId="2" borderId="9" xfId="1" applyFont="1" applyFill="1" applyBorder="1" applyAlignment="1">
      <alignment horizontal="right"/>
    </xf>
    <xf numFmtId="43" fontId="2" fillId="2" borderId="0" xfId="1" applyFont="1" applyFill="1" applyAlignment="1">
      <alignment horizontal="right"/>
    </xf>
    <xf numFmtId="43" fontId="2" fillId="2" borderId="10" xfId="1" applyFont="1" applyFill="1" applyBorder="1" applyAlignment="1">
      <alignment horizontal="right"/>
    </xf>
    <xf numFmtId="2" fontId="3" fillId="2" borderId="2" xfId="0" applyNumberFormat="1" applyFont="1" applyFill="1" applyBorder="1" applyAlignment="1">
      <alignment vertical="center"/>
    </xf>
    <xf numFmtId="2" fontId="3" fillId="2" borderId="6" xfId="0" applyNumberFormat="1" applyFont="1" applyFill="1" applyBorder="1" applyAlignment="1">
      <alignment vertical="center"/>
    </xf>
    <xf numFmtId="2" fontId="3" fillId="2" borderId="3" xfId="0" applyNumberFormat="1" applyFont="1" applyFill="1" applyBorder="1" applyAlignment="1">
      <alignment horizontal="center"/>
    </xf>
    <xf numFmtId="2" fontId="3" fillId="2" borderId="4" xfId="0" applyNumberFormat="1" applyFont="1" applyFill="1" applyBorder="1" applyAlignment="1">
      <alignment horizontal="center"/>
    </xf>
    <xf numFmtId="2" fontId="3" fillId="2" borderId="5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43" fontId="5" fillId="2" borderId="8" xfId="1" applyFont="1" applyFill="1" applyBorder="1" applyAlignment="1">
      <alignment horizontal="right"/>
    </xf>
    <xf numFmtId="43" fontId="5" fillId="2" borderId="9" xfId="1" applyFont="1" applyFill="1" applyBorder="1" applyAlignment="1">
      <alignment horizontal="right"/>
    </xf>
    <xf numFmtId="43" fontId="5" fillId="2" borderId="0" xfId="1" applyFont="1" applyFill="1" applyAlignment="1">
      <alignment horizontal="right"/>
    </xf>
    <xf numFmtId="43" fontId="5" fillId="2" borderId="10" xfId="1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/>
    </xf>
    <xf numFmtId="165" fontId="10" fillId="2" borderId="0" xfId="0" applyNumberFormat="1" applyFont="1" applyFill="1" applyAlignment="1">
      <alignment horizontal="left"/>
    </xf>
  </cellXfs>
  <cellStyles count="2">
    <cellStyle name="Comma" xfId="1" builtinId="3"/>
    <cellStyle name="Normal" xfId="0" builtinId="0"/>
  </cellStyles>
  <dxfs count="2">
    <dxf>
      <font>
        <color theme="1"/>
      </font>
    </dxf>
    <dxf>
      <font>
        <color indexed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352424</xdr:colOff>
      <xdr:row>0</xdr:row>
      <xdr:rowOff>38100</xdr:rowOff>
    </xdr:from>
    <xdr:to>
      <xdr:col>1</xdr:col>
      <xdr:colOff>400050</xdr:colOff>
      <xdr:row>4</xdr:row>
      <xdr:rowOff>0</xdr:rowOff>
    </xdr:to>
    <xdr:pic>
      <xdr:nvPicPr>
        <xdr:cNvPr id="2" name="Picture 1" descr="lifebank_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52425" y="38100"/>
          <a:ext cx="581025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352424</xdr:colOff>
      <xdr:row>46</xdr:row>
      <xdr:rowOff>0</xdr:rowOff>
    </xdr:from>
    <xdr:to>
      <xdr:col>1</xdr:col>
      <xdr:colOff>400050</xdr:colOff>
      <xdr:row>46</xdr:row>
      <xdr:rowOff>0</xdr:rowOff>
    </xdr:to>
    <xdr:pic>
      <xdr:nvPicPr>
        <xdr:cNvPr id="3" name="Picture 1" descr="lifebank_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52425" y="9239250"/>
          <a:ext cx="581025" cy="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352424</xdr:colOff>
      <xdr:row>46</xdr:row>
      <xdr:rowOff>0</xdr:rowOff>
    </xdr:from>
    <xdr:to>
      <xdr:col>1</xdr:col>
      <xdr:colOff>400050</xdr:colOff>
      <xdr:row>46</xdr:row>
      <xdr:rowOff>0</xdr:rowOff>
    </xdr:to>
    <xdr:pic>
      <xdr:nvPicPr>
        <xdr:cNvPr id="4" name="Picture 1" descr="lifebank_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52425" y="9239250"/>
          <a:ext cx="581025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352424</xdr:colOff>
      <xdr:row>0</xdr:row>
      <xdr:rowOff>38100</xdr:rowOff>
    </xdr:from>
    <xdr:to>
      <xdr:col>1</xdr:col>
      <xdr:colOff>400050</xdr:colOff>
      <xdr:row>4</xdr:row>
      <xdr:rowOff>0</xdr:rowOff>
    </xdr:to>
    <xdr:pic>
      <xdr:nvPicPr>
        <xdr:cNvPr id="2" name="Picture 1" descr="lifebank_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52425" y="38100"/>
          <a:ext cx="581025" cy="609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352424</xdr:colOff>
      <xdr:row>64</xdr:row>
      <xdr:rowOff>0</xdr:rowOff>
    </xdr:from>
    <xdr:to>
      <xdr:col>1</xdr:col>
      <xdr:colOff>400050</xdr:colOff>
      <xdr:row>64</xdr:row>
      <xdr:rowOff>0</xdr:rowOff>
    </xdr:to>
    <xdr:pic>
      <xdr:nvPicPr>
        <xdr:cNvPr id="3" name="Picture 1" descr="lifebank_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52425" y="10315575"/>
          <a:ext cx="581025" cy="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352424</xdr:colOff>
      <xdr:row>64</xdr:row>
      <xdr:rowOff>0</xdr:rowOff>
    </xdr:from>
    <xdr:to>
      <xdr:col>1</xdr:col>
      <xdr:colOff>400050</xdr:colOff>
      <xdr:row>64</xdr:row>
      <xdr:rowOff>0</xdr:rowOff>
    </xdr:to>
    <xdr:pic>
      <xdr:nvPicPr>
        <xdr:cNvPr id="4" name="Picture 1" descr="lifebank_log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52425" y="10315575"/>
          <a:ext cx="581025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352424</xdr:colOff>
      <xdr:row>0</xdr:row>
      <xdr:rowOff>38100</xdr:rowOff>
    </xdr:from>
    <xdr:to>
      <xdr:col>1</xdr:col>
      <xdr:colOff>400050</xdr:colOff>
      <xdr:row>4</xdr:row>
      <xdr:rowOff>0</xdr:rowOff>
    </xdr:to>
    <xdr:pic>
      <xdr:nvPicPr>
        <xdr:cNvPr id="2" name="Picture 1" descr="lifebank_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52425" y="38100"/>
          <a:ext cx="581025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352424</xdr:colOff>
      <xdr:row>79</xdr:row>
      <xdr:rowOff>0</xdr:rowOff>
    </xdr:from>
    <xdr:to>
      <xdr:col>1</xdr:col>
      <xdr:colOff>400050</xdr:colOff>
      <xdr:row>79</xdr:row>
      <xdr:rowOff>0</xdr:rowOff>
    </xdr:to>
    <xdr:pic>
      <xdr:nvPicPr>
        <xdr:cNvPr id="3" name="Picture 1" descr="lifebank_log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52425" y="14925675"/>
          <a:ext cx="581025" cy="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352424</xdr:colOff>
      <xdr:row>79</xdr:row>
      <xdr:rowOff>0</xdr:rowOff>
    </xdr:from>
    <xdr:to>
      <xdr:col>1</xdr:col>
      <xdr:colOff>400050</xdr:colOff>
      <xdr:row>79</xdr:row>
      <xdr:rowOff>0</xdr:rowOff>
    </xdr:to>
    <xdr:pic>
      <xdr:nvPicPr>
        <xdr:cNvPr id="4" name="Picture 1" descr="lifebank_log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52425" y="14925675"/>
          <a:ext cx="581025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362549</xdr:colOff>
      <xdr:row>62</xdr:row>
      <xdr:rowOff>142420</xdr:rowOff>
    </xdr:from>
    <xdr:ext cx="1962149" cy="124777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 bwMode="auto">
        <a:xfrm>
          <a:off x="6603692" y="11472634"/>
          <a:ext cx="1962149" cy="12477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defRPr/>
          </a:pPr>
          <a:r>
            <a:rPr lang="en-PH" sz="1100" b="1"/>
            <a:t>Noted  By:</a:t>
          </a:r>
          <a:endParaRPr/>
        </a:p>
        <a:p>
          <a:pPr>
            <a:defRPr/>
          </a:pPr>
          <a:endParaRPr lang="en-PH" sz="1100"/>
        </a:p>
        <a:p>
          <a:pPr>
            <a:defRPr/>
          </a:pPr>
          <a:r>
            <a:rPr lang="en-PH" sz="1100"/>
            <a:t>     </a:t>
          </a:r>
          <a:r>
            <a:rPr lang="en-US" sz="1100" b="1" i="0" u="sng">
              <a:solidFill>
                <a:schemeClr val="tx1"/>
              </a:solidFill>
              <a:latin typeface="Calibri"/>
              <a:ea typeface="Arial"/>
              <a:cs typeface="Arial"/>
            </a:rPr>
            <a:t>Maricon B. Jaropillo</a:t>
          </a:r>
          <a:endParaRPr lang="en-PH" sz="1100" b="1" u="sng"/>
        </a:p>
        <a:p>
          <a:pPr>
            <a:defRPr/>
          </a:pPr>
          <a:r>
            <a:rPr lang="en-PH" sz="1100"/>
            <a:t>     </a:t>
          </a:r>
          <a:r>
            <a:rPr lang="en-US" sz="1100" b="0" i="0">
              <a:solidFill>
                <a:schemeClr val="tx1"/>
              </a:solidFill>
              <a:latin typeface="Calibri"/>
              <a:ea typeface="Arial"/>
              <a:cs typeface="Arial"/>
            </a:rPr>
            <a:t>System Administrator</a:t>
          </a:r>
          <a:endParaRPr lang="en-PH" sz="1100"/>
        </a:p>
      </xdr:txBody>
    </xdr:sp>
    <xdr:clientData/>
  </xdr:oneCellAnchor>
  <xdr:oneCellAnchor>
    <xdr:from>
      <xdr:col>0</xdr:col>
      <xdr:colOff>183690</xdr:colOff>
      <xdr:row>62</xdr:row>
      <xdr:rowOff>155123</xdr:rowOff>
    </xdr:from>
    <xdr:ext cx="1857375" cy="8001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 bwMode="auto">
        <a:xfrm>
          <a:off x="183690" y="11485337"/>
          <a:ext cx="1857375" cy="8001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defRPr/>
          </a:pPr>
          <a:r>
            <a:rPr lang="en-PH" sz="1100" b="1"/>
            <a:t>Prepared  By:</a:t>
          </a:r>
          <a:endParaRPr/>
        </a:p>
        <a:p>
          <a:pPr>
            <a:defRPr/>
          </a:pPr>
          <a:endParaRPr lang="en-PH" sz="1100"/>
        </a:p>
        <a:p>
          <a:pPr>
            <a:defRPr/>
          </a:pPr>
          <a:r>
            <a:rPr lang="en-PH" sz="1100"/>
            <a:t>    _____________________</a:t>
          </a:r>
          <a:endParaRPr lang="en-PH" sz="1100" b="1"/>
        </a:p>
        <a:p>
          <a:pPr>
            <a:defRPr/>
          </a:pPr>
          <a:r>
            <a:rPr lang="en-PH" sz="1100"/>
            <a:t>    Field Engineer, District 32</a:t>
          </a:r>
          <a:endParaRPr/>
        </a:p>
      </xdr:txBody>
    </xdr:sp>
    <xdr:clientData/>
  </xdr:oneCellAnchor>
  <xdr:oneCellAnchor>
    <xdr:from>
      <xdr:col>9</xdr:col>
      <xdr:colOff>954405</xdr:colOff>
      <xdr:row>62</xdr:row>
      <xdr:rowOff>140970</xdr:rowOff>
    </xdr:from>
    <xdr:ext cx="1798320" cy="80010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 bwMode="auto">
        <a:xfrm>
          <a:off x="8079105" y="7503795"/>
          <a:ext cx="1798320" cy="8001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defRPr/>
          </a:pPr>
          <a:r>
            <a:rPr lang="en-PH" sz="1100" b="1"/>
            <a:t>Approved  By:</a:t>
          </a:r>
          <a:endParaRPr/>
        </a:p>
        <a:p>
          <a:pPr>
            <a:defRPr/>
          </a:pPr>
          <a:endParaRPr lang="en-PH" sz="1100"/>
        </a:p>
        <a:p>
          <a:pPr>
            <a:defRPr/>
          </a:pPr>
          <a:r>
            <a:rPr lang="en-PH" sz="1100" b="1" u="sng"/>
            <a:t>Patrick Gerard G. Reyes</a:t>
          </a:r>
          <a:endParaRPr lang="en-PH" sz="1100" b="1"/>
        </a:p>
        <a:p>
          <a:pPr>
            <a:defRPr/>
          </a:pPr>
          <a:r>
            <a:rPr lang="en-PH" sz="1100"/>
            <a:t>   IICTD Head/Director</a:t>
          </a:r>
          <a:endParaRPr/>
        </a:p>
      </xdr:txBody>
    </xdr:sp>
    <xdr:clientData/>
  </xdr:oneCellAnchor>
  <xdr:twoCellAnchor editAs="oneCell">
    <xdr:from>
      <xdr:col>3</xdr:col>
      <xdr:colOff>95250</xdr:colOff>
      <xdr:row>0</xdr:row>
      <xdr:rowOff>0</xdr:rowOff>
    </xdr:from>
    <xdr:to>
      <xdr:col>3</xdr:col>
      <xdr:colOff>921123</xdr:colOff>
      <xdr:row>4</xdr:row>
      <xdr:rowOff>166731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2962275" y="0"/>
          <a:ext cx="825873" cy="1014456"/>
        </a:xfrm>
        <a:prstGeom prst="rect">
          <a:avLst/>
        </a:prstGeom>
      </xdr:spPr>
    </xdr:pic>
    <xdr:clientData/>
  </xdr:twoCellAnchor>
  <xdr:twoCellAnchor editAs="oneCell">
    <xdr:from>
      <xdr:col>0</xdr:col>
      <xdr:colOff>18144</xdr:colOff>
      <xdr:row>70</xdr:row>
      <xdr:rowOff>56108</xdr:rowOff>
    </xdr:from>
    <xdr:to>
      <xdr:col>12</xdr:col>
      <xdr:colOff>153739</xdr:colOff>
      <xdr:row>76</xdr:row>
      <xdr:rowOff>121529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t="91052" b="-24"/>
        <a:stretch/>
      </xdr:blipFill>
      <xdr:spPr bwMode="auto">
        <a:xfrm>
          <a:off x="18144" y="25746394"/>
          <a:ext cx="10350024" cy="1045135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0</xdr:col>
      <xdr:colOff>562425</xdr:colOff>
      <xdr:row>64</xdr:row>
      <xdr:rowOff>145143</xdr:rowOff>
    </xdr:from>
    <xdr:ext cx="1097643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93F793-1988-96E3-3F1A-65DF8A88731B}"/>
            </a:ext>
          </a:extLst>
        </xdr:cNvPr>
        <xdr:cNvSpPr txBox="1"/>
      </xdr:nvSpPr>
      <xdr:spPr>
        <a:xfrm>
          <a:off x="562425" y="11801929"/>
          <a:ext cx="10976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FE</a:t>
          </a:r>
          <a:r>
            <a:rPr lang="en-US" sz="1100" b="1" baseline="0"/>
            <a:t> Name</a:t>
          </a:r>
          <a:endParaRPr lang="en-US" sz="1100" b="1"/>
        </a:p>
      </xdr:txBody>
    </xdr:sp>
    <xdr:clientData/>
  </xdr:oneCellAnchor>
  <xdr:oneCellAnchor>
    <xdr:from>
      <xdr:col>4</xdr:col>
      <xdr:colOff>381454</xdr:colOff>
      <xdr:row>62</xdr:row>
      <xdr:rowOff>153305</xdr:rowOff>
    </xdr:from>
    <xdr:ext cx="1857375" cy="9715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AC6ACB-856B-4CDD-A00D-C4A2B5E9001E}"/>
            </a:ext>
          </a:extLst>
        </xdr:cNvPr>
        <xdr:cNvSpPr txBox="1"/>
      </xdr:nvSpPr>
      <xdr:spPr bwMode="auto">
        <a:xfrm>
          <a:off x="4499883" y="11483519"/>
          <a:ext cx="1857375" cy="971551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defRPr/>
          </a:pPr>
          <a:r>
            <a:rPr lang="en-PH" sz="1100" b="1"/>
            <a:t>Checked  By:</a:t>
          </a:r>
          <a:endParaRPr/>
        </a:p>
        <a:p>
          <a:pPr>
            <a:defRPr/>
          </a:pPr>
          <a:endParaRPr lang="en-PH" sz="1100"/>
        </a:p>
        <a:p>
          <a:pPr>
            <a:defRPr/>
          </a:pPr>
          <a:r>
            <a:rPr lang="en-PH" sz="1100"/>
            <a:t>    _____________________</a:t>
          </a:r>
          <a:endParaRPr lang="en-PH" sz="1100" b="1"/>
        </a:p>
        <a:p>
          <a:pPr algn="ctr">
            <a:defRPr/>
          </a:pPr>
          <a:r>
            <a:rPr lang="en-PH" sz="1100"/>
            <a:t>    FA</a:t>
          </a:r>
          <a:r>
            <a:rPr lang="en-PH" sz="1100" baseline="0"/>
            <a:t> Supervisor, CD</a:t>
          </a:r>
        </a:p>
        <a:p>
          <a:pPr algn="ctr">
            <a:defRPr/>
          </a:pPr>
          <a:r>
            <a:rPr lang="en-PH" sz="1100" baseline="0"/>
            <a:t>(Central Office)</a:t>
          </a:r>
          <a:endParaRPr/>
        </a:p>
      </xdr:txBody>
    </xdr:sp>
    <xdr:clientData/>
  </xdr:oneCellAnchor>
  <xdr:oneCellAnchor>
    <xdr:from>
      <xdr:col>2</xdr:col>
      <xdr:colOff>343347</xdr:colOff>
      <xdr:row>62</xdr:row>
      <xdr:rowOff>151494</xdr:rowOff>
    </xdr:from>
    <xdr:ext cx="2006153" cy="8001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9D8F96D-B3D9-480F-81D4-EDBFD72750E9}"/>
            </a:ext>
          </a:extLst>
        </xdr:cNvPr>
        <xdr:cNvSpPr txBox="1"/>
      </xdr:nvSpPr>
      <xdr:spPr bwMode="auto">
        <a:xfrm>
          <a:off x="2266490" y="11481708"/>
          <a:ext cx="2006153" cy="8001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defRPr/>
          </a:pPr>
          <a:r>
            <a:rPr lang="en-PH" sz="1100" b="1"/>
            <a:t>Checked  By:</a:t>
          </a:r>
          <a:endParaRPr/>
        </a:p>
        <a:p>
          <a:pPr>
            <a:defRPr/>
          </a:pPr>
          <a:endParaRPr lang="en-PH" sz="1100"/>
        </a:p>
        <a:p>
          <a:pPr>
            <a:defRPr/>
          </a:pPr>
          <a:r>
            <a:rPr lang="en-PH" sz="1100"/>
            <a:t>    _____________________</a:t>
          </a:r>
          <a:endParaRPr lang="en-PH" sz="1100" b="1"/>
        </a:p>
        <a:p>
          <a:pPr>
            <a:defRPr/>
          </a:pPr>
          <a:r>
            <a:rPr lang="en-PH" sz="1100"/>
            <a:t>    District</a:t>
          </a:r>
          <a:r>
            <a:rPr lang="en-PH" sz="1100" baseline="0"/>
            <a:t> Manager</a:t>
          </a:r>
          <a:r>
            <a:rPr lang="en-PH" sz="1100"/>
            <a:t>, District 32</a:t>
          </a:r>
          <a:endParaRPr/>
        </a:p>
      </xdr:txBody>
    </xdr:sp>
    <xdr:clientData/>
  </xdr:oneCellAnchor>
  <xdr:oneCellAnchor>
    <xdr:from>
      <xdr:col>2</xdr:col>
      <xdr:colOff>796466</xdr:colOff>
      <xdr:row>64</xdr:row>
      <xdr:rowOff>143329</xdr:rowOff>
    </xdr:from>
    <xdr:ext cx="1097643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E262425-1117-454F-9BA4-F61A3F4C17A3}"/>
            </a:ext>
          </a:extLst>
        </xdr:cNvPr>
        <xdr:cNvSpPr txBox="1"/>
      </xdr:nvSpPr>
      <xdr:spPr>
        <a:xfrm>
          <a:off x="2719609" y="11800115"/>
          <a:ext cx="10976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 baseline="0"/>
            <a:t>Jolly S. Meres</a:t>
          </a:r>
          <a:endParaRPr lang="en-US" sz="1100" b="1"/>
        </a:p>
      </xdr:txBody>
    </xdr:sp>
    <xdr:clientData/>
  </xdr:oneCellAnchor>
  <xdr:oneCellAnchor>
    <xdr:from>
      <xdr:col>4</xdr:col>
      <xdr:colOff>549731</xdr:colOff>
      <xdr:row>64</xdr:row>
      <xdr:rowOff>141516</xdr:rowOff>
    </xdr:from>
    <xdr:ext cx="17090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7320329-0C90-49CB-AD3D-1CE1C6AF116C}"/>
            </a:ext>
          </a:extLst>
        </xdr:cNvPr>
        <xdr:cNvSpPr txBox="1"/>
      </xdr:nvSpPr>
      <xdr:spPr>
        <a:xfrm>
          <a:off x="4668160" y="11798302"/>
          <a:ext cx="17090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Ma.</a:t>
          </a:r>
          <a:r>
            <a:rPr lang="en-US" sz="1100" b="1" baseline="0"/>
            <a:t> Suzette S. Seguiban</a:t>
          </a:r>
          <a:endParaRPr lang="en-US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opLeftCell="A10" zoomScale="80" workbookViewId="0">
      <selection activeCell="G38" sqref="G38:J38"/>
    </sheetView>
  </sheetViews>
  <sheetFormatPr defaultColWidth="9" defaultRowHeight="12.5" x14ac:dyDescent="0.25"/>
  <cols>
    <col min="1" max="1" width="10.26953125" style="1" customWidth="1"/>
    <col min="2" max="2" width="8.81640625" style="2" customWidth="1"/>
    <col min="3" max="3" width="20.81640625" style="3" customWidth="1"/>
    <col min="4" max="4" width="18.26953125" style="3" customWidth="1"/>
    <col min="5" max="5" width="10.1796875" style="3" customWidth="1"/>
    <col min="6" max="6" width="8.81640625" style="2" customWidth="1"/>
    <col min="7" max="7" width="10.453125" style="2" customWidth="1"/>
    <col min="8" max="8" width="9.26953125" style="4" customWidth="1"/>
    <col min="9" max="9" width="8.26953125" style="4" customWidth="1"/>
    <col min="10" max="10" width="8.1796875" style="4" customWidth="1"/>
    <col min="11" max="11" width="8.81640625" style="4" customWidth="1"/>
    <col min="12" max="12" width="10.26953125" style="2" customWidth="1"/>
  </cols>
  <sheetData>
    <row r="1" spans="1:12" x14ac:dyDescent="0.25">
      <c r="A1" s="5"/>
      <c r="B1" s="6"/>
      <c r="C1" s="7"/>
      <c r="D1" s="7"/>
      <c r="E1" s="7"/>
      <c r="F1" s="6"/>
      <c r="G1" s="6"/>
      <c r="H1" s="8"/>
      <c r="I1" s="8"/>
      <c r="J1" s="8"/>
      <c r="K1" s="8"/>
      <c r="L1" s="6"/>
    </row>
    <row r="2" spans="1:12" ht="13" x14ac:dyDescent="0.3">
      <c r="A2" s="190" t="s">
        <v>0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</row>
    <row r="3" spans="1:12" ht="13" x14ac:dyDescent="0.3">
      <c r="A3" s="191" t="s">
        <v>1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</row>
    <row r="4" spans="1:12" x14ac:dyDescent="0.25">
      <c r="A4" s="176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</row>
    <row r="5" spans="1:12" ht="13" x14ac:dyDescent="0.3">
      <c r="A5" s="190" t="s">
        <v>2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</row>
    <row r="6" spans="1:12" x14ac:dyDescent="0.25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6"/>
    </row>
    <row r="7" spans="1:12" x14ac:dyDescent="0.25">
      <c r="A7" s="196" t="s">
        <v>3</v>
      </c>
      <c r="B7" s="196"/>
      <c r="C7" s="196"/>
      <c r="D7" s="196"/>
      <c r="E7" s="196"/>
      <c r="F7" s="196"/>
      <c r="G7" s="197" t="s">
        <v>4</v>
      </c>
      <c r="H7" s="197"/>
      <c r="I7" s="197"/>
      <c r="J7" s="197"/>
      <c r="K7" s="197"/>
      <c r="L7" s="197"/>
    </row>
    <row r="8" spans="1:12" x14ac:dyDescent="0.25">
      <c r="A8" s="196" t="s">
        <v>5</v>
      </c>
      <c r="B8" s="196"/>
      <c r="C8" s="196"/>
      <c r="D8" s="196"/>
      <c r="E8" s="196"/>
      <c r="F8" s="196"/>
      <c r="G8" s="196" t="s">
        <v>6</v>
      </c>
      <c r="H8" s="196"/>
      <c r="I8" s="196"/>
      <c r="J8" s="196"/>
      <c r="K8" s="196"/>
      <c r="L8" s="196"/>
    </row>
    <row r="9" spans="1:12" x14ac:dyDescent="0.25">
      <c r="A9" s="5" t="s">
        <v>7</v>
      </c>
      <c r="B9" s="6"/>
      <c r="C9" s="7"/>
      <c r="D9" s="7"/>
      <c r="E9" s="7"/>
      <c r="F9" s="6"/>
      <c r="G9" s="6"/>
      <c r="H9" s="8"/>
      <c r="I9" s="8"/>
      <c r="J9" s="8"/>
      <c r="K9" s="8"/>
      <c r="L9" s="6"/>
    </row>
    <row r="10" spans="1:12" x14ac:dyDescent="0.25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</row>
    <row r="11" spans="1:12" ht="20.25" customHeight="1" x14ac:dyDescent="0.3">
      <c r="A11" s="212" t="s">
        <v>8</v>
      </c>
      <c r="B11" s="192" t="s">
        <v>9</v>
      </c>
      <c r="C11" s="214" t="s">
        <v>10</v>
      </c>
      <c r="D11" s="192" t="s">
        <v>11</v>
      </c>
      <c r="E11" s="194" t="s">
        <v>12</v>
      </c>
      <c r="F11" s="192" t="s">
        <v>13</v>
      </c>
      <c r="G11" s="192" t="s">
        <v>14</v>
      </c>
      <c r="H11" s="209" t="s">
        <v>15</v>
      </c>
      <c r="I11" s="210"/>
      <c r="J11" s="211"/>
      <c r="K11" s="207" t="s">
        <v>16</v>
      </c>
      <c r="L11" s="192" t="s">
        <v>17</v>
      </c>
    </row>
    <row r="12" spans="1:12" ht="14.25" customHeight="1" x14ac:dyDescent="0.3">
      <c r="A12" s="213"/>
      <c r="B12" s="193"/>
      <c r="C12" s="215"/>
      <c r="D12" s="193"/>
      <c r="E12" s="195"/>
      <c r="F12" s="193"/>
      <c r="G12" s="193"/>
      <c r="H12" s="9" t="s">
        <v>18</v>
      </c>
      <c r="I12" s="9" t="s">
        <v>19</v>
      </c>
      <c r="J12" s="9" t="s">
        <v>20</v>
      </c>
      <c r="K12" s="208"/>
      <c r="L12" s="193"/>
    </row>
    <row r="13" spans="1:12" x14ac:dyDescent="0.25">
      <c r="A13" s="10">
        <v>43011</v>
      </c>
      <c r="B13" s="11">
        <v>0.14583333333333334</v>
      </c>
      <c r="C13" s="12" t="s">
        <v>21</v>
      </c>
      <c r="D13" s="13" t="s">
        <v>22</v>
      </c>
      <c r="E13" s="13" t="s">
        <v>23</v>
      </c>
      <c r="F13" s="14">
        <v>300</v>
      </c>
      <c r="G13" s="14"/>
      <c r="H13" s="15"/>
      <c r="I13" s="15"/>
      <c r="J13" s="15"/>
      <c r="K13" s="16"/>
      <c r="L13" s="17"/>
    </row>
    <row r="14" spans="1:12" x14ac:dyDescent="0.25">
      <c r="A14" s="10"/>
      <c r="B14" s="18"/>
      <c r="C14" s="13" t="s">
        <v>24</v>
      </c>
      <c r="D14" s="19"/>
      <c r="F14" s="14"/>
      <c r="G14" s="14"/>
      <c r="H14" s="20"/>
      <c r="I14" s="20"/>
      <c r="J14" s="20"/>
      <c r="K14" s="16">
        <v>200</v>
      </c>
      <c r="L14" s="17"/>
    </row>
    <row r="15" spans="1:12" x14ac:dyDescent="0.25">
      <c r="A15" s="10"/>
      <c r="B15" s="21"/>
      <c r="C15" s="22" t="s">
        <v>25</v>
      </c>
      <c r="D15" s="3" t="s">
        <v>26</v>
      </c>
      <c r="E15" s="22" t="s">
        <v>27</v>
      </c>
      <c r="F15" s="23">
        <v>10</v>
      </c>
      <c r="G15" s="14">
        <v>180</v>
      </c>
      <c r="H15" s="20">
        <v>40</v>
      </c>
      <c r="I15" s="24">
        <v>40</v>
      </c>
      <c r="J15" s="20">
        <v>40</v>
      </c>
      <c r="K15" s="16"/>
      <c r="L15" s="17"/>
    </row>
    <row r="16" spans="1:12" x14ac:dyDescent="0.25">
      <c r="A16" s="10">
        <v>43012</v>
      </c>
      <c r="B16" s="21"/>
      <c r="C16" s="18"/>
      <c r="D16" s="22"/>
      <c r="E16" s="22"/>
      <c r="F16" s="23"/>
      <c r="G16" s="14">
        <v>180</v>
      </c>
      <c r="H16" s="20">
        <v>40</v>
      </c>
      <c r="I16" s="24">
        <v>40</v>
      </c>
      <c r="J16" s="20">
        <v>40</v>
      </c>
      <c r="K16" s="16"/>
      <c r="L16" s="17"/>
    </row>
    <row r="17" spans="1:12" x14ac:dyDescent="0.25">
      <c r="A17" s="25">
        <v>43013</v>
      </c>
      <c r="B17" s="21"/>
      <c r="C17" s="18" t="s">
        <v>26</v>
      </c>
      <c r="D17" s="22" t="s">
        <v>28</v>
      </c>
      <c r="E17" s="22" t="s">
        <v>27</v>
      </c>
      <c r="F17" s="23">
        <v>10</v>
      </c>
      <c r="G17" s="14"/>
      <c r="H17" s="20"/>
      <c r="I17" s="20"/>
      <c r="J17" s="20"/>
      <c r="K17" s="16"/>
      <c r="L17" s="17"/>
    </row>
    <row r="18" spans="1:12" x14ac:dyDescent="0.25">
      <c r="A18" s="10"/>
      <c r="B18" s="21"/>
      <c r="C18" s="18" t="s">
        <v>28</v>
      </c>
      <c r="D18" s="18" t="s">
        <v>29</v>
      </c>
      <c r="E18" s="22" t="s">
        <v>30</v>
      </c>
      <c r="F18" s="23">
        <v>10</v>
      </c>
      <c r="G18" s="14"/>
      <c r="H18" s="20"/>
      <c r="I18" s="20"/>
      <c r="J18" s="20"/>
      <c r="K18" s="16"/>
      <c r="L18" s="17"/>
    </row>
    <row r="19" spans="1:12" x14ac:dyDescent="0.25">
      <c r="A19" s="10"/>
      <c r="B19" s="21"/>
      <c r="C19" s="18" t="s">
        <v>29</v>
      </c>
      <c r="D19" s="18" t="s">
        <v>31</v>
      </c>
      <c r="E19" s="22" t="s">
        <v>32</v>
      </c>
      <c r="F19" s="23">
        <v>200</v>
      </c>
      <c r="G19" s="14"/>
      <c r="H19" s="20"/>
      <c r="I19" s="20"/>
      <c r="J19" s="20"/>
      <c r="K19" s="16"/>
      <c r="L19" s="17"/>
    </row>
    <row r="20" spans="1:12" x14ac:dyDescent="0.25">
      <c r="A20" s="10"/>
      <c r="B20" s="21"/>
      <c r="C20" s="18" t="s">
        <v>31</v>
      </c>
      <c r="D20" s="22" t="s">
        <v>33</v>
      </c>
      <c r="E20" s="22" t="s">
        <v>27</v>
      </c>
      <c r="F20" s="23">
        <v>5</v>
      </c>
      <c r="G20" s="14">
        <v>180</v>
      </c>
      <c r="H20" s="26">
        <v>40</v>
      </c>
      <c r="I20" s="26">
        <v>40</v>
      </c>
      <c r="J20" s="20">
        <v>40</v>
      </c>
      <c r="K20" s="16"/>
      <c r="L20" s="17"/>
    </row>
    <row r="21" spans="1:12" x14ac:dyDescent="0.25">
      <c r="A21" s="10">
        <v>43014</v>
      </c>
      <c r="B21" s="21"/>
      <c r="C21" s="18"/>
      <c r="D21" s="22"/>
      <c r="E21" s="22"/>
      <c r="F21" s="23"/>
      <c r="G21" s="14">
        <v>180</v>
      </c>
      <c r="H21" s="20">
        <v>40</v>
      </c>
      <c r="I21" s="20">
        <v>40</v>
      </c>
      <c r="J21" s="20">
        <v>40</v>
      </c>
      <c r="K21" s="16"/>
      <c r="L21" s="17"/>
    </row>
    <row r="22" spans="1:12" x14ac:dyDescent="0.25">
      <c r="A22" s="10">
        <v>43015</v>
      </c>
      <c r="B22" s="21"/>
      <c r="C22" s="18"/>
      <c r="D22" s="22"/>
      <c r="E22" s="22"/>
      <c r="F22" s="23"/>
      <c r="G22" s="14">
        <v>180</v>
      </c>
      <c r="H22" s="20">
        <v>40</v>
      </c>
      <c r="I22" s="20">
        <v>40</v>
      </c>
      <c r="J22" s="20">
        <v>40</v>
      </c>
      <c r="K22" s="16"/>
      <c r="L22" s="17"/>
    </row>
    <row r="23" spans="1:12" x14ac:dyDescent="0.25">
      <c r="A23" s="10">
        <v>43016</v>
      </c>
      <c r="B23" s="21"/>
      <c r="C23" s="18"/>
      <c r="D23" s="18"/>
      <c r="E23" s="22"/>
      <c r="F23" s="23"/>
      <c r="G23" s="14">
        <v>180</v>
      </c>
      <c r="H23" s="20">
        <v>40</v>
      </c>
      <c r="I23" s="20">
        <v>40</v>
      </c>
      <c r="J23" s="20">
        <v>40</v>
      </c>
      <c r="K23" s="16"/>
      <c r="L23" s="17"/>
    </row>
    <row r="24" spans="1:12" x14ac:dyDescent="0.25">
      <c r="A24" s="10">
        <v>43017</v>
      </c>
      <c r="B24" s="21"/>
      <c r="C24" s="18" t="s">
        <v>33</v>
      </c>
      <c r="D24" s="27" t="s">
        <v>31</v>
      </c>
      <c r="E24" s="28" t="s">
        <v>27</v>
      </c>
      <c r="F24" s="23">
        <v>5</v>
      </c>
      <c r="G24" s="14"/>
      <c r="H24" s="20"/>
      <c r="I24" s="20"/>
      <c r="J24" s="20"/>
      <c r="K24" s="16"/>
      <c r="L24" s="17"/>
    </row>
    <row r="25" spans="1:12" x14ac:dyDescent="0.25">
      <c r="A25" s="10"/>
      <c r="B25" s="21"/>
      <c r="C25" s="18" t="s">
        <v>31</v>
      </c>
      <c r="D25" s="18" t="s">
        <v>34</v>
      </c>
      <c r="E25" s="22" t="s">
        <v>32</v>
      </c>
      <c r="F25" s="23">
        <v>140</v>
      </c>
      <c r="G25" s="14"/>
      <c r="H25" s="20"/>
      <c r="I25" s="20"/>
      <c r="J25" s="20"/>
      <c r="K25" s="16"/>
      <c r="L25" s="17"/>
    </row>
    <row r="26" spans="1:12" x14ac:dyDescent="0.25">
      <c r="A26" s="10"/>
      <c r="B26" s="21"/>
      <c r="C26" s="18" t="s">
        <v>34</v>
      </c>
      <c r="D26" s="18" t="s">
        <v>35</v>
      </c>
      <c r="E26" s="22" t="s">
        <v>30</v>
      </c>
      <c r="F26" s="23">
        <v>8</v>
      </c>
      <c r="G26" s="14">
        <v>180</v>
      </c>
      <c r="H26" s="20">
        <v>40</v>
      </c>
      <c r="I26" s="20">
        <v>40</v>
      </c>
      <c r="J26" s="20">
        <v>40</v>
      </c>
      <c r="K26" s="16"/>
      <c r="L26" s="17"/>
    </row>
    <row r="27" spans="1:12" x14ac:dyDescent="0.25">
      <c r="A27" s="10">
        <v>43018</v>
      </c>
      <c r="B27" s="21"/>
      <c r="C27" s="18" t="s">
        <v>35</v>
      </c>
      <c r="D27" s="22" t="s">
        <v>34</v>
      </c>
      <c r="E27" s="22" t="s">
        <v>30</v>
      </c>
      <c r="F27" s="23">
        <v>8</v>
      </c>
      <c r="K27" s="16"/>
      <c r="L27" s="17"/>
    </row>
    <row r="28" spans="1:12" x14ac:dyDescent="0.25">
      <c r="A28" s="10"/>
      <c r="B28" s="21"/>
      <c r="C28" s="18" t="s">
        <v>34</v>
      </c>
      <c r="D28" s="22" t="s">
        <v>36</v>
      </c>
      <c r="E28" s="22" t="s">
        <v>32</v>
      </c>
      <c r="F28" s="23">
        <v>120</v>
      </c>
      <c r="G28" s="14"/>
      <c r="H28" s="20"/>
      <c r="I28" s="20"/>
      <c r="J28" s="20"/>
      <c r="K28" s="16"/>
      <c r="L28" s="17"/>
    </row>
    <row r="29" spans="1:12" x14ac:dyDescent="0.25">
      <c r="A29" s="10"/>
      <c r="B29" s="21"/>
      <c r="C29" s="18" t="s">
        <v>36</v>
      </c>
      <c r="D29" s="22" t="s">
        <v>25</v>
      </c>
      <c r="E29" s="22" t="s">
        <v>37</v>
      </c>
      <c r="F29" s="23">
        <v>7</v>
      </c>
      <c r="G29" s="14"/>
      <c r="H29" s="20"/>
      <c r="I29" s="20"/>
      <c r="J29" s="20"/>
      <c r="K29" s="16"/>
      <c r="L29" s="17"/>
    </row>
    <row r="30" spans="1:12" x14ac:dyDescent="0.25">
      <c r="A30" s="10"/>
      <c r="B30" s="21"/>
      <c r="C30" s="18" t="s">
        <v>38</v>
      </c>
      <c r="D30" s="22" t="s">
        <v>26</v>
      </c>
      <c r="E30" s="22" t="s">
        <v>30</v>
      </c>
      <c r="F30" s="23">
        <v>10</v>
      </c>
      <c r="G30" s="14">
        <v>180</v>
      </c>
      <c r="H30" s="20">
        <v>40</v>
      </c>
      <c r="I30" s="20">
        <v>40</v>
      </c>
      <c r="J30" s="20">
        <v>40</v>
      </c>
      <c r="K30" s="16"/>
      <c r="L30" s="17"/>
    </row>
    <row r="31" spans="1:12" x14ac:dyDescent="0.25">
      <c r="A31" s="10">
        <v>43019</v>
      </c>
      <c r="B31" s="21"/>
      <c r="C31" s="18"/>
      <c r="D31" s="22"/>
      <c r="E31" s="22"/>
      <c r="F31" s="23"/>
      <c r="G31" s="14">
        <v>180</v>
      </c>
      <c r="H31" s="20">
        <v>40</v>
      </c>
      <c r="I31" s="20">
        <v>40</v>
      </c>
      <c r="J31" s="20">
        <v>40</v>
      </c>
      <c r="K31" s="16"/>
      <c r="L31" s="17"/>
    </row>
    <row r="32" spans="1:12" x14ac:dyDescent="0.25">
      <c r="A32" s="10">
        <v>43020</v>
      </c>
      <c r="B32" s="21"/>
      <c r="C32" s="18"/>
      <c r="D32" s="22"/>
      <c r="E32" s="22"/>
      <c r="F32" s="23"/>
      <c r="G32" s="14">
        <v>180</v>
      </c>
      <c r="H32" s="20">
        <v>40</v>
      </c>
      <c r="I32" s="20">
        <v>40</v>
      </c>
      <c r="J32" s="20">
        <v>40</v>
      </c>
      <c r="K32" s="16"/>
      <c r="L32" s="17"/>
    </row>
    <row r="33" spans="1:12" x14ac:dyDescent="0.25">
      <c r="A33" s="10">
        <v>43021</v>
      </c>
      <c r="B33" s="21"/>
      <c r="C33" s="18" t="s">
        <v>26</v>
      </c>
      <c r="D33" s="22" t="s">
        <v>25</v>
      </c>
      <c r="E33" s="22"/>
      <c r="F33" s="23">
        <v>10</v>
      </c>
      <c r="G33" s="14"/>
      <c r="H33" s="20"/>
      <c r="I33" s="20"/>
      <c r="J33" s="20"/>
      <c r="K33" s="16"/>
      <c r="L33" s="17"/>
    </row>
    <row r="34" spans="1:12" x14ac:dyDescent="0.25">
      <c r="A34" s="10"/>
      <c r="B34" s="21"/>
      <c r="C34" s="18" t="s">
        <v>25</v>
      </c>
      <c r="D34" s="22" t="s">
        <v>39</v>
      </c>
      <c r="E34" s="22"/>
      <c r="F34" s="14">
        <v>10</v>
      </c>
      <c r="G34" s="14"/>
      <c r="H34" s="20"/>
      <c r="I34" s="20"/>
      <c r="J34" s="20"/>
      <c r="K34" s="16"/>
      <c r="L34" s="17"/>
    </row>
    <row r="35" spans="1:12" x14ac:dyDescent="0.25">
      <c r="A35" s="10"/>
      <c r="B35" s="18"/>
      <c r="C35" s="22" t="s">
        <v>24</v>
      </c>
      <c r="D35" s="22"/>
      <c r="F35" s="14"/>
      <c r="G35" s="14"/>
      <c r="H35" s="20"/>
      <c r="I35" s="20"/>
      <c r="J35" s="20"/>
      <c r="K35" s="16">
        <v>150</v>
      </c>
      <c r="L35" s="17"/>
    </row>
    <row r="36" spans="1:12" x14ac:dyDescent="0.25">
      <c r="A36" s="10"/>
      <c r="B36" s="18"/>
      <c r="C36" s="18" t="s">
        <v>40</v>
      </c>
      <c r="D36" s="22" t="s">
        <v>41</v>
      </c>
      <c r="E36" s="22"/>
      <c r="F36" s="14">
        <v>50</v>
      </c>
      <c r="G36" s="14"/>
      <c r="H36" s="20"/>
      <c r="I36" s="20"/>
      <c r="J36" s="20"/>
      <c r="K36" s="16"/>
      <c r="L36" s="17"/>
    </row>
    <row r="37" spans="1:12" x14ac:dyDescent="0.25">
      <c r="A37" s="10"/>
      <c r="B37" s="18"/>
      <c r="C37" s="18" t="s">
        <v>41</v>
      </c>
      <c r="D37" s="22" t="s">
        <v>21</v>
      </c>
      <c r="E37" s="22"/>
      <c r="F37" s="14">
        <v>60</v>
      </c>
      <c r="J37" s="20"/>
      <c r="K37" s="16"/>
      <c r="L37" s="17"/>
    </row>
    <row r="38" spans="1:12" x14ac:dyDescent="0.25">
      <c r="A38" s="10"/>
      <c r="B38" s="11">
        <v>0.8125</v>
      </c>
      <c r="C38" s="18" t="s">
        <v>21</v>
      </c>
      <c r="D38" s="22" t="s">
        <v>42</v>
      </c>
      <c r="E38" s="22"/>
      <c r="F38" s="14">
        <v>20</v>
      </c>
      <c r="G38" s="14"/>
      <c r="H38" s="20">
        <v>40</v>
      </c>
      <c r="I38" s="20">
        <v>70</v>
      </c>
      <c r="J38" s="20"/>
      <c r="K38" s="16"/>
      <c r="L38" s="17"/>
    </row>
    <row r="39" spans="1:12" x14ac:dyDescent="0.25">
      <c r="A39" s="10"/>
      <c r="B39" s="18"/>
      <c r="C39" s="18"/>
      <c r="D39" s="22"/>
      <c r="E39" s="22"/>
      <c r="F39" s="14"/>
      <c r="G39" s="14"/>
      <c r="H39" s="20"/>
      <c r="I39" s="20"/>
      <c r="J39" s="20"/>
      <c r="K39" s="16"/>
      <c r="L39" s="17"/>
    </row>
    <row r="40" spans="1:12" x14ac:dyDescent="0.25">
      <c r="A40" s="10"/>
      <c r="B40" s="18"/>
      <c r="C40" s="18"/>
      <c r="D40" s="18"/>
      <c r="E40" s="18"/>
      <c r="F40" s="14"/>
      <c r="G40" s="14"/>
      <c r="H40" s="20"/>
      <c r="I40" s="20"/>
      <c r="J40" s="20"/>
      <c r="K40" s="16"/>
      <c r="L40" s="17"/>
    </row>
    <row r="41" spans="1:12" x14ac:dyDescent="0.25">
      <c r="A41" s="10"/>
      <c r="B41" s="18"/>
      <c r="C41" s="18"/>
      <c r="D41" s="22"/>
      <c r="E41" s="22"/>
      <c r="F41" s="14"/>
      <c r="G41" s="14"/>
      <c r="H41" s="20"/>
      <c r="I41" s="20"/>
      <c r="J41" s="20"/>
      <c r="K41" s="16"/>
      <c r="L41" s="17"/>
    </row>
    <row r="42" spans="1:12" ht="13" x14ac:dyDescent="0.3">
      <c r="A42" s="10"/>
      <c r="B42" s="18"/>
      <c r="C42" s="18"/>
      <c r="D42" s="18"/>
      <c r="E42" s="18"/>
      <c r="F42" s="29">
        <f t="shared" ref="F42:K42" si="0">SUM(F13:F41)</f>
        <v>983</v>
      </c>
      <c r="G42" s="29">
        <f t="shared" si="0"/>
        <v>1800</v>
      </c>
      <c r="H42" s="29">
        <f t="shared" si="0"/>
        <v>440</v>
      </c>
      <c r="I42" s="29">
        <f t="shared" si="0"/>
        <v>470</v>
      </c>
      <c r="J42" s="29">
        <f t="shared" si="0"/>
        <v>400</v>
      </c>
      <c r="K42" s="29">
        <f t="shared" si="0"/>
        <v>350</v>
      </c>
      <c r="L42" s="29"/>
    </row>
    <row r="43" spans="1:12" ht="12.75" hidden="1" customHeight="1" x14ac:dyDescent="0.3">
      <c r="A43" s="10"/>
      <c r="B43" s="17"/>
      <c r="C43" s="18"/>
      <c r="D43" s="18"/>
      <c r="E43" s="18"/>
      <c r="F43" s="29"/>
      <c r="G43" s="29"/>
      <c r="H43" s="30"/>
      <c r="I43" s="30"/>
      <c r="J43" s="30"/>
      <c r="K43" s="30" t="e">
        <f>#REF!+#REF!+#REF!+K42</f>
        <v>#REF!</v>
      </c>
      <c r="L43" s="29"/>
    </row>
    <row r="44" spans="1:12" ht="13" x14ac:dyDescent="0.3">
      <c r="A44" s="5"/>
      <c r="B44" s="17"/>
      <c r="C44" s="7"/>
      <c r="D44" s="7"/>
      <c r="E44" s="7"/>
      <c r="F44" s="31"/>
      <c r="G44" s="203" t="s">
        <v>43</v>
      </c>
      <c r="H44" s="203"/>
      <c r="I44" s="203"/>
      <c r="J44" s="203"/>
      <c r="K44" s="204"/>
      <c r="L44" s="29">
        <f>SUM(F42:K42)</f>
        <v>4443</v>
      </c>
    </row>
    <row r="45" spans="1:12" ht="13" x14ac:dyDescent="0.3">
      <c r="A45" s="5"/>
      <c r="B45" s="6"/>
      <c r="C45" s="7"/>
      <c r="D45" s="7"/>
      <c r="E45" s="7"/>
      <c r="F45" s="31"/>
      <c r="G45" s="205" t="s">
        <v>44</v>
      </c>
      <c r="H45" s="205"/>
      <c r="I45" s="205"/>
      <c r="J45" s="205"/>
      <c r="K45" s="206"/>
      <c r="L45" s="29">
        <v>5900</v>
      </c>
    </row>
    <row r="46" spans="1:12" ht="13" x14ac:dyDescent="0.3">
      <c r="A46" s="5"/>
      <c r="B46" s="6"/>
      <c r="C46" s="7"/>
      <c r="D46" s="7"/>
      <c r="E46" s="7"/>
      <c r="F46" s="31"/>
      <c r="G46" s="205" t="s">
        <v>43</v>
      </c>
      <c r="H46" s="205"/>
      <c r="I46" s="205"/>
      <c r="J46" s="205"/>
      <c r="K46" s="206"/>
      <c r="L46" s="29">
        <f>(L45-L44)</f>
        <v>1457</v>
      </c>
    </row>
    <row r="47" spans="1:12" x14ac:dyDescent="0.25">
      <c r="B47" s="6"/>
    </row>
    <row r="49" spans="1:10" ht="13" x14ac:dyDescent="0.3">
      <c r="A49" s="32" t="s">
        <v>45</v>
      </c>
      <c r="D49" s="33" t="s">
        <v>46</v>
      </c>
      <c r="E49" s="33"/>
      <c r="G49" s="34" t="s">
        <v>47</v>
      </c>
      <c r="H49" s="35"/>
      <c r="I49" s="35"/>
      <c r="J49" s="35"/>
    </row>
    <row r="50" spans="1:10" ht="13" x14ac:dyDescent="0.3">
      <c r="D50" s="36"/>
      <c r="E50" s="36"/>
    </row>
    <row r="51" spans="1:10" x14ac:dyDescent="0.25">
      <c r="D51" s="37"/>
      <c r="E51" s="37"/>
    </row>
    <row r="52" spans="1:10" ht="13" x14ac:dyDescent="0.3">
      <c r="A52" s="200" t="s">
        <v>48</v>
      </c>
      <c r="B52" s="200"/>
      <c r="D52" s="38" t="s">
        <v>49</v>
      </c>
      <c r="G52" s="198" t="s">
        <v>50</v>
      </c>
      <c r="H52" s="198"/>
      <c r="I52" s="198"/>
    </row>
    <row r="53" spans="1:10" x14ac:dyDescent="0.25">
      <c r="A53" s="201" t="s">
        <v>51</v>
      </c>
      <c r="B53" s="201"/>
      <c r="D53" s="3" t="s">
        <v>52</v>
      </c>
      <c r="G53" s="199" t="s">
        <v>53</v>
      </c>
      <c r="H53" s="199"/>
      <c r="I53" s="199"/>
    </row>
  </sheetData>
  <mergeCells count="27">
    <mergeCell ref="G52:I52"/>
    <mergeCell ref="G53:I53"/>
    <mergeCell ref="A52:B52"/>
    <mergeCell ref="A53:B53"/>
    <mergeCell ref="A10:L10"/>
    <mergeCell ref="G44:K44"/>
    <mergeCell ref="G45:K45"/>
    <mergeCell ref="G46:K46"/>
    <mergeCell ref="F11:F12"/>
    <mergeCell ref="G11:G12"/>
    <mergeCell ref="K11:K12"/>
    <mergeCell ref="L11:L12"/>
    <mergeCell ref="H11:J11"/>
    <mergeCell ref="A11:A12"/>
    <mergeCell ref="B11:B12"/>
    <mergeCell ref="C11:C12"/>
    <mergeCell ref="D11:D12"/>
    <mergeCell ref="E11:E12"/>
    <mergeCell ref="A7:F7"/>
    <mergeCell ref="G7:L7"/>
    <mergeCell ref="A8:F8"/>
    <mergeCell ref="G8:L8"/>
    <mergeCell ref="A2:L2"/>
    <mergeCell ref="A3:L3"/>
    <mergeCell ref="A4:L4"/>
    <mergeCell ref="A5:L5"/>
    <mergeCell ref="A6:K6"/>
  </mergeCells>
  <pageMargins left="0.25" right="0.25" top="0.75" bottom="0.75" header="0.3" footer="0.3"/>
  <pageSetup paperSize="9" scale="7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9"/>
  <sheetViews>
    <sheetView workbookViewId="0">
      <selection activeCell="E69" sqref="E69"/>
    </sheetView>
  </sheetViews>
  <sheetFormatPr defaultColWidth="9.1796875" defaultRowHeight="13" x14ac:dyDescent="0.3"/>
  <cols>
    <col min="1" max="1" width="8" style="39" customWidth="1"/>
    <col min="2" max="2" width="8.26953125" style="39" customWidth="1"/>
    <col min="3" max="3" width="16.7265625" style="39" customWidth="1"/>
    <col min="4" max="4" width="15.54296875" style="39" customWidth="1"/>
    <col min="5" max="6" width="9.26953125" style="39" customWidth="1"/>
    <col min="7" max="7" width="8.81640625" style="39" customWidth="1"/>
    <col min="8" max="10" width="7.7265625" style="39" customWidth="1"/>
    <col min="11" max="11" width="6.54296875" style="39" customWidth="1"/>
    <col min="12" max="12" width="20.453125" style="39" customWidth="1"/>
    <col min="13" max="16384" width="9.1796875" style="39"/>
  </cols>
  <sheetData>
    <row r="1" spans="1:12" x14ac:dyDescent="0.3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x14ac:dyDescent="0.3">
      <c r="A2" s="217" t="s">
        <v>0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</row>
    <row r="3" spans="1:12" x14ac:dyDescent="0.3">
      <c r="A3" s="218" t="s">
        <v>1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</row>
    <row r="4" spans="1:12" x14ac:dyDescent="0.3">
      <c r="A4" s="219"/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</row>
    <row r="5" spans="1:12" x14ac:dyDescent="0.3">
      <c r="A5" s="217" t="s">
        <v>2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</row>
    <row r="6" spans="1:12" x14ac:dyDescent="0.3">
      <c r="A6" s="219"/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40"/>
    </row>
    <row r="7" spans="1:12" x14ac:dyDescent="0.3">
      <c r="A7" s="162" t="s">
        <v>54</v>
      </c>
      <c r="B7" s="162"/>
      <c r="C7" s="162"/>
      <c r="D7" s="162"/>
      <c r="E7" s="162"/>
      <c r="F7" s="162"/>
      <c r="G7" s="216" t="s">
        <v>55</v>
      </c>
      <c r="H7" s="216"/>
      <c r="I7" s="216"/>
      <c r="J7" s="216"/>
      <c r="K7" s="216"/>
      <c r="L7" s="216"/>
    </row>
    <row r="8" spans="1:12" x14ac:dyDescent="0.3">
      <c r="A8" s="162" t="s">
        <v>56</v>
      </c>
      <c r="B8" s="162"/>
      <c r="C8" s="162"/>
      <c r="D8" s="162"/>
      <c r="E8" s="162"/>
      <c r="F8" s="162"/>
      <c r="G8" s="162" t="s">
        <v>6</v>
      </c>
      <c r="H8" s="162"/>
      <c r="I8" s="162"/>
      <c r="J8" s="162"/>
      <c r="K8" s="162"/>
      <c r="L8" s="162"/>
    </row>
    <row r="9" spans="1:12" x14ac:dyDescent="0.3">
      <c r="A9" s="40" t="s">
        <v>57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</row>
    <row r="10" spans="1:12" x14ac:dyDescent="0.3">
      <c r="A10" s="220"/>
      <c r="B10" s="220"/>
      <c r="C10" s="220"/>
      <c r="D10" s="220"/>
      <c r="E10" s="220"/>
      <c r="F10" s="220"/>
      <c r="G10" s="220"/>
      <c r="H10" s="220"/>
      <c r="I10" s="220"/>
      <c r="J10" s="220"/>
      <c r="K10" s="220"/>
      <c r="L10" s="220"/>
    </row>
    <row r="11" spans="1:12" ht="20.25" customHeight="1" x14ac:dyDescent="0.3">
      <c r="A11" s="225" t="s">
        <v>8</v>
      </c>
      <c r="B11" s="225" t="s">
        <v>9</v>
      </c>
      <c r="C11" s="225" t="s">
        <v>10</v>
      </c>
      <c r="D11" s="225" t="s">
        <v>11</v>
      </c>
      <c r="E11" s="231" t="s">
        <v>12</v>
      </c>
      <c r="F11" s="225" t="s">
        <v>13</v>
      </c>
      <c r="G11" s="225" t="s">
        <v>14</v>
      </c>
      <c r="H11" s="230" t="s">
        <v>15</v>
      </c>
      <c r="I11" s="230"/>
      <c r="J11" s="230"/>
      <c r="K11" s="228" t="s">
        <v>16</v>
      </c>
      <c r="L11" s="225" t="s">
        <v>17</v>
      </c>
    </row>
    <row r="12" spans="1:12" ht="14.25" customHeight="1" x14ac:dyDescent="0.3">
      <c r="A12" s="226"/>
      <c r="B12" s="226"/>
      <c r="C12" s="226"/>
      <c r="D12" s="226"/>
      <c r="E12" s="232"/>
      <c r="F12" s="226"/>
      <c r="G12" s="227"/>
      <c r="H12" s="43" t="s">
        <v>18</v>
      </c>
      <c r="I12" s="43" t="s">
        <v>19</v>
      </c>
      <c r="J12" s="43" t="s">
        <v>20</v>
      </c>
      <c r="K12" s="229"/>
      <c r="L12" s="226"/>
    </row>
    <row r="13" spans="1:12" x14ac:dyDescent="0.3">
      <c r="A13" s="44">
        <v>42541</v>
      </c>
      <c r="B13" s="45">
        <v>0.33333333333333298</v>
      </c>
      <c r="C13" s="46" t="s">
        <v>58</v>
      </c>
      <c r="D13" s="47" t="s">
        <v>59</v>
      </c>
      <c r="E13" s="47" t="s">
        <v>60</v>
      </c>
      <c r="F13" s="48">
        <v>7</v>
      </c>
      <c r="G13" s="48"/>
      <c r="H13" s="49"/>
      <c r="I13" s="49"/>
      <c r="J13" s="49"/>
      <c r="K13" s="48"/>
      <c r="L13" s="50"/>
    </row>
    <row r="14" spans="1:12" x14ac:dyDescent="0.3">
      <c r="A14" s="51"/>
      <c r="B14" s="52"/>
      <c r="C14" s="53" t="s">
        <v>59</v>
      </c>
      <c r="D14" s="54" t="s">
        <v>61</v>
      </c>
      <c r="E14" s="54" t="s">
        <v>62</v>
      </c>
      <c r="F14" s="48"/>
      <c r="G14" s="48"/>
      <c r="H14" s="48"/>
      <c r="I14" s="48"/>
      <c r="J14" s="48"/>
      <c r="K14" s="48"/>
      <c r="L14" s="50" t="s">
        <v>63</v>
      </c>
    </row>
    <row r="15" spans="1:12" x14ac:dyDescent="0.3">
      <c r="A15" s="51"/>
      <c r="B15" s="55"/>
      <c r="C15" s="53" t="s">
        <v>61</v>
      </c>
      <c r="D15" s="54" t="s">
        <v>64</v>
      </c>
      <c r="E15" s="54" t="s">
        <v>65</v>
      </c>
      <c r="F15" s="48">
        <v>230</v>
      </c>
      <c r="G15" s="48"/>
      <c r="H15" s="48"/>
      <c r="I15" s="48"/>
      <c r="J15" s="48"/>
      <c r="K15" s="48"/>
      <c r="L15" s="50" t="s">
        <v>66</v>
      </c>
    </row>
    <row r="16" spans="1:12" x14ac:dyDescent="0.3">
      <c r="A16" s="56"/>
      <c r="B16" s="55"/>
      <c r="C16" s="53"/>
      <c r="D16" s="54"/>
      <c r="E16" s="54"/>
      <c r="F16" s="48"/>
      <c r="G16" s="48"/>
      <c r="H16" s="48"/>
      <c r="I16" s="48"/>
      <c r="J16" s="48"/>
      <c r="K16" s="48">
        <v>30</v>
      </c>
      <c r="L16" s="50" t="s">
        <v>24</v>
      </c>
    </row>
    <row r="17" spans="1:12" x14ac:dyDescent="0.3">
      <c r="A17" s="51"/>
      <c r="B17" s="55"/>
      <c r="C17" s="53" t="s">
        <v>64</v>
      </c>
      <c r="D17" s="53" t="s">
        <v>67</v>
      </c>
      <c r="E17" s="54" t="s">
        <v>62</v>
      </c>
      <c r="F17" s="57"/>
      <c r="G17" s="48"/>
      <c r="H17" s="48"/>
      <c r="I17" s="48"/>
      <c r="J17" s="48"/>
      <c r="K17" s="48"/>
      <c r="L17" s="50" t="s">
        <v>68</v>
      </c>
    </row>
    <row r="18" spans="1:12" x14ac:dyDescent="0.3">
      <c r="A18" s="51"/>
      <c r="B18" s="55"/>
      <c r="C18" s="53" t="s">
        <v>67</v>
      </c>
      <c r="D18" s="53" t="s">
        <v>69</v>
      </c>
      <c r="E18" s="54" t="s">
        <v>70</v>
      </c>
      <c r="F18" s="57">
        <v>127</v>
      </c>
      <c r="G18" s="48"/>
      <c r="H18" s="48"/>
      <c r="I18" s="48"/>
      <c r="J18" s="48"/>
      <c r="K18" s="48"/>
      <c r="L18" s="50"/>
    </row>
    <row r="19" spans="1:12" x14ac:dyDescent="0.3">
      <c r="A19" s="51"/>
      <c r="B19" s="55"/>
      <c r="C19" s="53" t="s">
        <v>69</v>
      </c>
      <c r="D19" s="54" t="s">
        <v>71</v>
      </c>
      <c r="E19" s="54" t="s">
        <v>30</v>
      </c>
      <c r="F19" s="57">
        <v>20</v>
      </c>
      <c r="G19" s="48">
        <v>160</v>
      </c>
      <c r="H19" s="48"/>
      <c r="I19" s="48">
        <v>40</v>
      </c>
      <c r="J19" s="48">
        <v>40</v>
      </c>
      <c r="K19" s="48"/>
      <c r="L19" s="50"/>
    </row>
    <row r="20" spans="1:12" x14ac:dyDescent="0.3">
      <c r="A20" s="51"/>
      <c r="B20" s="55"/>
      <c r="C20" s="53"/>
      <c r="D20" s="54"/>
      <c r="E20" s="54"/>
      <c r="F20" s="57"/>
      <c r="G20" s="48"/>
      <c r="H20" s="48"/>
      <c r="I20" s="48"/>
      <c r="J20" s="48"/>
      <c r="K20" s="48"/>
      <c r="L20" s="50"/>
    </row>
    <row r="21" spans="1:12" x14ac:dyDescent="0.3">
      <c r="A21" s="44">
        <v>42542</v>
      </c>
      <c r="B21" s="55"/>
      <c r="C21" s="53" t="s">
        <v>71</v>
      </c>
      <c r="D21" s="53" t="s">
        <v>69</v>
      </c>
      <c r="E21" s="54" t="s">
        <v>30</v>
      </c>
      <c r="F21" s="57">
        <v>20</v>
      </c>
      <c r="G21" s="48"/>
      <c r="H21" s="48"/>
      <c r="I21" s="48"/>
      <c r="J21" s="48"/>
      <c r="K21" s="48"/>
      <c r="L21" s="50"/>
    </row>
    <row r="22" spans="1:12" x14ac:dyDescent="0.3">
      <c r="A22" s="51"/>
      <c r="B22" s="55"/>
      <c r="C22" s="53" t="s">
        <v>69</v>
      </c>
      <c r="D22" s="53" t="s">
        <v>72</v>
      </c>
      <c r="E22" s="54" t="s">
        <v>70</v>
      </c>
      <c r="F22" s="57">
        <v>20</v>
      </c>
      <c r="G22" s="48"/>
      <c r="H22" s="48"/>
      <c r="I22" s="48"/>
      <c r="J22" s="48"/>
      <c r="K22" s="48"/>
      <c r="L22" s="50"/>
    </row>
    <row r="23" spans="1:12" x14ac:dyDescent="0.3">
      <c r="A23" s="51"/>
      <c r="B23" s="55"/>
      <c r="C23" s="53" t="s">
        <v>72</v>
      </c>
      <c r="D23" s="58" t="s">
        <v>73</v>
      </c>
      <c r="E23" s="59"/>
      <c r="F23" s="57"/>
      <c r="G23" s="48">
        <v>160</v>
      </c>
      <c r="H23" s="48">
        <v>40</v>
      </c>
      <c r="I23" s="48">
        <v>40</v>
      </c>
      <c r="J23" s="48">
        <v>40</v>
      </c>
      <c r="K23" s="48"/>
      <c r="L23" s="50"/>
    </row>
    <row r="24" spans="1:12" x14ac:dyDescent="0.3">
      <c r="A24" s="51"/>
      <c r="B24" s="55"/>
      <c r="C24" s="53"/>
      <c r="D24" s="53"/>
      <c r="E24" s="54"/>
      <c r="F24" s="57"/>
      <c r="G24" s="48"/>
      <c r="H24" s="48"/>
      <c r="I24" s="48"/>
      <c r="J24" s="48"/>
      <c r="K24" s="48"/>
      <c r="L24" s="50"/>
    </row>
    <row r="25" spans="1:12" x14ac:dyDescent="0.3">
      <c r="A25" s="44">
        <v>42543</v>
      </c>
      <c r="B25" s="55"/>
      <c r="C25" s="58" t="s">
        <v>73</v>
      </c>
      <c r="D25" s="53" t="s">
        <v>72</v>
      </c>
      <c r="E25" s="54"/>
      <c r="F25" s="57"/>
      <c r="G25" s="48"/>
      <c r="H25" s="48"/>
      <c r="I25" s="48"/>
      <c r="J25" s="48"/>
      <c r="K25" s="48"/>
      <c r="L25" s="50"/>
    </row>
    <row r="26" spans="1:12" x14ac:dyDescent="0.3">
      <c r="A26" s="51"/>
      <c r="B26" s="55"/>
      <c r="C26" s="53" t="s">
        <v>72</v>
      </c>
      <c r="D26" s="53" t="s">
        <v>74</v>
      </c>
      <c r="E26" s="54" t="s">
        <v>70</v>
      </c>
      <c r="F26" s="57">
        <v>35</v>
      </c>
      <c r="G26" s="48"/>
      <c r="H26" s="48"/>
      <c r="I26" s="48"/>
      <c r="J26" s="48"/>
      <c r="K26" s="48"/>
      <c r="L26" s="50"/>
    </row>
    <row r="27" spans="1:12" x14ac:dyDescent="0.3">
      <c r="A27" s="51"/>
      <c r="B27" s="55"/>
      <c r="C27" s="53" t="s">
        <v>74</v>
      </c>
      <c r="D27" s="54" t="s">
        <v>75</v>
      </c>
      <c r="E27" s="54" t="s">
        <v>30</v>
      </c>
      <c r="F27" s="57">
        <v>7</v>
      </c>
      <c r="G27" s="48">
        <v>160</v>
      </c>
      <c r="H27" s="48">
        <v>40</v>
      </c>
      <c r="I27" s="48">
        <v>40</v>
      </c>
      <c r="J27" s="48">
        <v>40</v>
      </c>
      <c r="K27" s="48"/>
      <c r="L27" s="50"/>
    </row>
    <row r="28" spans="1:12" x14ac:dyDescent="0.3">
      <c r="A28" s="51"/>
      <c r="B28" s="55"/>
      <c r="C28" s="53"/>
      <c r="D28" s="54"/>
      <c r="E28" s="54"/>
      <c r="F28" s="57"/>
      <c r="G28" s="48"/>
      <c r="H28" s="48"/>
      <c r="I28" s="48"/>
      <c r="J28" s="48"/>
      <c r="K28" s="48"/>
      <c r="L28" s="50"/>
    </row>
    <row r="29" spans="1:12" x14ac:dyDescent="0.3">
      <c r="A29" s="44">
        <v>42544</v>
      </c>
      <c r="B29" s="55"/>
      <c r="C29" s="53" t="s">
        <v>75</v>
      </c>
      <c r="D29" s="53" t="s">
        <v>74</v>
      </c>
      <c r="E29" s="54" t="s">
        <v>30</v>
      </c>
      <c r="F29" s="57">
        <v>7</v>
      </c>
      <c r="G29" s="48"/>
      <c r="H29" s="48"/>
      <c r="I29" s="48"/>
      <c r="J29" s="48"/>
      <c r="K29" s="48"/>
      <c r="L29" s="50"/>
    </row>
    <row r="30" spans="1:12" x14ac:dyDescent="0.3">
      <c r="A30" s="51"/>
      <c r="B30" s="55"/>
      <c r="C30" s="53" t="s">
        <v>74</v>
      </c>
      <c r="D30" s="53" t="s">
        <v>76</v>
      </c>
      <c r="E30" s="54" t="s">
        <v>70</v>
      </c>
      <c r="F30" s="57">
        <v>95</v>
      </c>
      <c r="G30" s="48"/>
      <c r="H30" s="48"/>
      <c r="I30" s="48"/>
      <c r="J30" s="48"/>
      <c r="K30" s="48"/>
      <c r="L30" s="50"/>
    </row>
    <row r="31" spans="1:12" x14ac:dyDescent="0.3">
      <c r="A31" s="51"/>
      <c r="B31" s="55"/>
      <c r="C31" s="53" t="s">
        <v>76</v>
      </c>
      <c r="D31" s="54" t="s">
        <v>77</v>
      </c>
      <c r="E31" s="54" t="s">
        <v>62</v>
      </c>
      <c r="F31" s="57"/>
      <c r="G31" s="48"/>
      <c r="H31" s="48"/>
      <c r="I31" s="48"/>
      <c r="J31" s="48"/>
      <c r="K31" s="48"/>
      <c r="L31" s="50" t="s">
        <v>68</v>
      </c>
    </row>
    <row r="32" spans="1:12" x14ac:dyDescent="0.3">
      <c r="A32" s="51"/>
      <c r="B32" s="55"/>
      <c r="C32" s="53" t="s">
        <v>77</v>
      </c>
      <c r="D32" s="54" t="s">
        <v>78</v>
      </c>
      <c r="E32" s="54" t="s">
        <v>60</v>
      </c>
      <c r="F32" s="57">
        <v>7</v>
      </c>
      <c r="G32" s="48">
        <v>160</v>
      </c>
      <c r="H32" s="48">
        <v>40</v>
      </c>
      <c r="I32" s="48">
        <v>40</v>
      </c>
      <c r="J32" s="48">
        <v>40</v>
      </c>
      <c r="K32" s="48"/>
      <c r="L32" s="50"/>
    </row>
    <row r="33" spans="1:12" x14ac:dyDescent="0.3">
      <c r="A33" s="51"/>
      <c r="B33" s="55"/>
      <c r="C33" s="53"/>
      <c r="D33" s="54"/>
      <c r="E33" s="54"/>
      <c r="F33" s="57"/>
      <c r="G33" s="48"/>
      <c r="H33" s="48"/>
      <c r="I33" s="48"/>
      <c r="J33" s="48"/>
      <c r="K33" s="48"/>
      <c r="L33" s="50"/>
    </row>
    <row r="34" spans="1:12" x14ac:dyDescent="0.3">
      <c r="A34" s="44">
        <v>42545</v>
      </c>
      <c r="B34" s="55" t="s">
        <v>79</v>
      </c>
      <c r="C34" s="53"/>
      <c r="D34" s="54"/>
      <c r="E34" s="54"/>
      <c r="F34" s="57"/>
      <c r="G34" s="48">
        <v>160</v>
      </c>
      <c r="H34" s="48">
        <v>40</v>
      </c>
      <c r="I34" s="48">
        <v>40</v>
      </c>
      <c r="J34" s="48">
        <v>40</v>
      </c>
      <c r="K34" s="48"/>
      <c r="L34" s="50"/>
    </row>
    <row r="35" spans="1:12" x14ac:dyDescent="0.3">
      <c r="A35" s="51"/>
      <c r="B35" s="55"/>
      <c r="C35" s="53"/>
      <c r="D35" s="54"/>
      <c r="E35" s="54"/>
      <c r="F35" s="57"/>
      <c r="G35" s="48"/>
      <c r="H35" s="48"/>
      <c r="I35" s="48"/>
      <c r="J35" s="48"/>
      <c r="K35" s="48"/>
      <c r="L35" s="50"/>
    </row>
    <row r="36" spans="1:12" x14ac:dyDescent="0.3">
      <c r="A36" s="44">
        <v>42546</v>
      </c>
      <c r="B36" s="55" t="s">
        <v>79</v>
      </c>
      <c r="C36" s="53"/>
      <c r="D36" s="54"/>
      <c r="E36" s="54"/>
      <c r="F36" s="57"/>
      <c r="G36" s="48">
        <v>160</v>
      </c>
      <c r="H36" s="48">
        <v>40</v>
      </c>
      <c r="I36" s="48">
        <v>40</v>
      </c>
      <c r="J36" s="48">
        <v>40</v>
      </c>
      <c r="K36" s="48"/>
      <c r="L36" s="50"/>
    </row>
    <row r="37" spans="1:12" x14ac:dyDescent="0.3">
      <c r="A37" s="51"/>
      <c r="B37" s="55"/>
      <c r="C37" s="53"/>
      <c r="D37" s="54"/>
      <c r="E37" s="54"/>
      <c r="F37" s="57"/>
      <c r="G37" s="48"/>
      <c r="H37" s="48"/>
      <c r="I37" s="48"/>
      <c r="J37" s="48"/>
      <c r="K37" s="48"/>
      <c r="L37" s="50"/>
    </row>
    <row r="38" spans="1:12" x14ac:dyDescent="0.3">
      <c r="A38" s="44">
        <v>42547</v>
      </c>
      <c r="B38" s="55" t="s">
        <v>79</v>
      </c>
      <c r="C38" s="53"/>
      <c r="D38" s="54"/>
      <c r="E38" s="54"/>
      <c r="F38" s="57"/>
      <c r="G38" s="48">
        <v>160</v>
      </c>
      <c r="H38" s="48">
        <v>40</v>
      </c>
      <c r="I38" s="48">
        <v>40</v>
      </c>
      <c r="J38" s="48">
        <v>40</v>
      </c>
      <c r="K38" s="48"/>
      <c r="L38" s="50"/>
    </row>
    <row r="39" spans="1:12" x14ac:dyDescent="0.3">
      <c r="A39" s="51"/>
      <c r="B39" s="55"/>
      <c r="C39" s="53"/>
      <c r="D39" s="54"/>
      <c r="E39" s="54"/>
      <c r="F39" s="57"/>
      <c r="G39" s="48"/>
      <c r="H39" s="48"/>
      <c r="I39" s="48"/>
      <c r="J39" s="48"/>
      <c r="K39" s="48"/>
      <c r="L39" s="50"/>
    </row>
    <row r="40" spans="1:12" x14ac:dyDescent="0.3">
      <c r="A40" s="44">
        <v>42548</v>
      </c>
      <c r="B40" s="60">
        <v>0.30208333333333298</v>
      </c>
      <c r="C40" s="53" t="s">
        <v>78</v>
      </c>
      <c r="D40" s="54" t="s">
        <v>80</v>
      </c>
      <c r="E40" s="54" t="s">
        <v>30</v>
      </c>
      <c r="F40" s="57">
        <v>20</v>
      </c>
      <c r="G40" s="48">
        <v>160</v>
      </c>
      <c r="H40" s="48">
        <v>40</v>
      </c>
      <c r="I40" s="48">
        <v>40</v>
      </c>
      <c r="J40" s="48">
        <v>40</v>
      </c>
      <c r="K40" s="48"/>
      <c r="L40" s="50"/>
    </row>
    <row r="41" spans="1:12" x14ac:dyDescent="0.3">
      <c r="A41" s="51"/>
      <c r="B41" s="52"/>
      <c r="C41" s="53"/>
      <c r="D41" s="54"/>
      <c r="E41" s="54"/>
      <c r="F41" s="48"/>
      <c r="G41" s="48"/>
      <c r="H41" s="48"/>
      <c r="I41" s="48"/>
      <c r="J41" s="48"/>
      <c r="K41" s="48"/>
      <c r="L41" s="50"/>
    </row>
    <row r="42" spans="1:12" x14ac:dyDescent="0.3">
      <c r="A42" s="44">
        <v>42549</v>
      </c>
      <c r="B42" s="52"/>
      <c r="C42" s="54" t="s">
        <v>80</v>
      </c>
      <c r="D42" s="54" t="s">
        <v>81</v>
      </c>
      <c r="E42" s="54" t="s">
        <v>30</v>
      </c>
      <c r="F42" s="48">
        <v>8</v>
      </c>
      <c r="G42" s="48"/>
      <c r="H42" s="48"/>
      <c r="I42" s="48"/>
      <c r="J42" s="48"/>
      <c r="K42" s="48"/>
      <c r="L42" s="50"/>
    </row>
    <row r="43" spans="1:12" x14ac:dyDescent="0.3">
      <c r="A43" s="51"/>
      <c r="B43" s="52"/>
      <c r="C43" s="54" t="s">
        <v>81</v>
      </c>
      <c r="D43" s="54" t="s">
        <v>78</v>
      </c>
      <c r="E43" s="54" t="s">
        <v>60</v>
      </c>
      <c r="F43" s="48">
        <v>7</v>
      </c>
      <c r="G43" s="48">
        <v>160</v>
      </c>
      <c r="H43" s="48">
        <v>40</v>
      </c>
      <c r="I43" s="48">
        <v>40</v>
      </c>
      <c r="J43" s="48">
        <v>40</v>
      </c>
      <c r="K43" s="48"/>
      <c r="L43" s="50"/>
    </row>
    <row r="44" spans="1:12" x14ac:dyDescent="0.3">
      <c r="A44" s="51"/>
      <c r="B44" s="52"/>
      <c r="C44" s="53"/>
      <c r="D44" s="54"/>
      <c r="E44" s="54"/>
      <c r="F44" s="48"/>
      <c r="G44" s="48"/>
      <c r="H44" s="48"/>
      <c r="I44" s="48"/>
      <c r="J44" s="48"/>
      <c r="K44" s="48"/>
      <c r="L44" s="50"/>
    </row>
    <row r="45" spans="1:12" x14ac:dyDescent="0.3">
      <c r="A45" s="44">
        <v>42550</v>
      </c>
      <c r="B45" s="45">
        <v>0.30208333333333298</v>
      </c>
      <c r="C45" s="53" t="s">
        <v>78</v>
      </c>
      <c r="D45" s="54" t="s">
        <v>77</v>
      </c>
      <c r="E45" s="54" t="s">
        <v>60</v>
      </c>
      <c r="F45" s="48">
        <v>7</v>
      </c>
      <c r="G45" s="48"/>
      <c r="H45" s="48"/>
      <c r="I45" s="48"/>
      <c r="J45" s="48"/>
      <c r="K45" s="48"/>
      <c r="L45" s="50"/>
    </row>
    <row r="46" spans="1:12" x14ac:dyDescent="0.3">
      <c r="A46" s="61"/>
      <c r="B46" s="52"/>
      <c r="C46" s="53" t="s">
        <v>77</v>
      </c>
      <c r="D46" s="54" t="s">
        <v>82</v>
      </c>
      <c r="E46" s="54" t="s">
        <v>60</v>
      </c>
      <c r="F46" s="48">
        <v>7</v>
      </c>
      <c r="G46" s="48"/>
      <c r="H46" s="48"/>
      <c r="I46" s="48"/>
      <c r="J46" s="48"/>
      <c r="K46" s="48"/>
      <c r="L46" s="50"/>
    </row>
    <row r="47" spans="1:12" x14ac:dyDescent="0.3">
      <c r="A47" s="61"/>
      <c r="B47" s="52"/>
      <c r="C47" s="53" t="s">
        <v>82</v>
      </c>
      <c r="D47" s="53" t="s">
        <v>83</v>
      </c>
      <c r="E47" s="53" t="s">
        <v>84</v>
      </c>
      <c r="F47" s="48">
        <v>5</v>
      </c>
      <c r="G47" s="48"/>
      <c r="H47" s="48"/>
      <c r="I47" s="48"/>
      <c r="J47" s="48"/>
      <c r="K47" s="48"/>
      <c r="L47" s="50"/>
    </row>
    <row r="48" spans="1:12" x14ac:dyDescent="0.3">
      <c r="A48" s="61"/>
      <c r="B48" s="52"/>
      <c r="C48" s="53" t="s">
        <v>83</v>
      </c>
      <c r="D48" s="53" t="s">
        <v>77</v>
      </c>
      <c r="E48" s="54" t="s">
        <v>60</v>
      </c>
      <c r="F48" s="48">
        <v>7</v>
      </c>
      <c r="G48" s="48"/>
      <c r="H48" s="48"/>
      <c r="I48" s="48"/>
      <c r="J48" s="48"/>
      <c r="K48" s="48"/>
      <c r="L48" s="50"/>
    </row>
    <row r="49" spans="1:12" x14ac:dyDescent="0.3">
      <c r="A49" s="61"/>
      <c r="B49" s="52"/>
      <c r="C49" s="53" t="s">
        <v>77</v>
      </c>
      <c r="D49" s="53" t="s">
        <v>78</v>
      </c>
      <c r="E49" s="54" t="s">
        <v>60</v>
      </c>
      <c r="F49" s="48">
        <v>7</v>
      </c>
      <c r="G49" s="48">
        <v>160</v>
      </c>
      <c r="H49" s="48">
        <v>40</v>
      </c>
      <c r="I49" s="48">
        <v>40</v>
      </c>
      <c r="J49" s="48">
        <v>40</v>
      </c>
      <c r="K49" s="48"/>
      <c r="L49" s="50"/>
    </row>
    <row r="50" spans="1:12" x14ac:dyDescent="0.3">
      <c r="A50" s="61"/>
      <c r="B50" s="52"/>
      <c r="C50" s="52"/>
      <c r="D50" s="62"/>
      <c r="E50" s="62"/>
      <c r="F50" s="48"/>
      <c r="G50" s="48"/>
      <c r="H50" s="48"/>
      <c r="I50" s="48"/>
      <c r="J50" s="48"/>
      <c r="K50" s="48"/>
      <c r="L50" s="50"/>
    </row>
    <row r="51" spans="1:12" x14ac:dyDescent="0.3">
      <c r="A51" s="44">
        <v>42551</v>
      </c>
      <c r="B51" s="52" t="s">
        <v>85</v>
      </c>
      <c r="C51" s="52"/>
      <c r="D51" s="62"/>
      <c r="E51" s="62"/>
      <c r="F51" s="48"/>
      <c r="G51" s="48">
        <v>160</v>
      </c>
      <c r="H51" s="48">
        <v>40</v>
      </c>
      <c r="I51" s="48">
        <v>40</v>
      </c>
      <c r="J51" s="48">
        <v>40</v>
      </c>
      <c r="K51" s="52"/>
      <c r="L51" s="50"/>
    </row>
    <row r="52" spans="1:12" x14ac:dyDescent="0.3">
      <c r="A52" s="61"/>
      <c r="B52" s="52"/>
      <c r="C52" s="52"/>
      <c r="D52" s="62"/>
      <c r="E52" s="62"/>
      <c r="F52" s="48"/>
      <c r="G52" s="48"/>
      <c r="H52" s="48"/>
      <c r="I52" s="48"/>
      <c r="J52" s="48"/>
      <c r="K52" s="52"/>
      <c r="L52" s="50"/>
    </row>
    <row r="53" spans="1:12" x14ac:dyDescent="0.3">
      <c r="A53" s="44">
        <v>42552</v>
      </c>
      <c r="B53" s="52"/>
      <c r="C53" s="50" t="s">
        <v>78</v>
      </c>
      <c r="D53" s="50" t="s">
        <v>77</v>
      </c>
      <c r="E53" s="54" t="s">
        <v>60</v>
      </c>
      <c r="F53" s="48">
        <v>7</v>
      </c>
      <c r="G53" s="48"/>
      <c r="H53" s="48"/>
      <c r="I53" s="48"/>
      <c r="J53" s="48"/>
      <c r="K53" s="52"/>
      <c r="L53" s="50"/>
    </row>
    <row r="54" spans="1:12" x14ac:dyDescent="0.3">
      <c r="A54" s="61"/>
      <c r="B54" s="52"/>
      <c r="C54" s="50" t="s">
        <v>77</v>
      </c>
      <c r="D54" s="63" t="s">
        <v>64</v>
      </c>
      <c r="E54" s="54" t="s">
        <v>62</v>
      </c>
      <c r="F54" s="48"/>
      <c r="G54" s="48"/>
      <c r="H54" s="48"/>
      <c r="I54" s="48"/>
      <c r="J54" s="48"/>
      <c r="K54" s="52"/>
      <c r="L54" s="50" t="s">
        <v>68</v>
      </c>
    </row>
    <row r="55" spans="1:12" x14ac:dyDescent="0.3">
      <c r="A55" s="61"/>
      <c r="B55" s="52"/>
      <c r="C55" s="50" t="s">
        <v>64</v>
      </c>
      <c r="D55" s="63" t="s">
        <v>61</v>
      </c>
      <c r="E55" s="54" t="s">
        <v>65</v>
      </c>
      <c r="F55" s="48">
        <v>230</v>
      </c>
      <c r="G55" s="48"/>
      <c r="H55" s="48"/>
      <c r="I55" s="48"/>
      <c r="J55" s="48"/>
      <c r="K55" s="52"/>
      <c r="L55" s="50" t="s">
        <v>86</v>
      </c>
    </row>
    <row r="56" spans="1:12" x14ac:dyDescent="0.3">
      <c r="A56" s="61"/>
      <c r="B56" s="52"/>
      <c r="C56" s="50"/>
      <c r="D56" s="63"/>
      <c r="E56" s="54"/>
      <c r="F56" s="48"/>
      <c r="G56" s="48"/>
      <c r="H56" s="48"/>
      <c r="I56" s="48"/>
      <c r="J56" s="48"/>
      <c r="K56" s="52">
        <v>15</v>
      </c>
      <c r="L56" s="50" t="s">
        <v>87</v>
      </c>
    </row>
    <row r="57" spans="1:12" x14ac:dyDescent="0.3">
      <c r="A57" s="61"/>
      <c r="B57" s="52"/>
      <c r="C57" s="50" t="s">
        <v>61</v>
      </c>
      <c r="D57" s="63" t="s">
        <v>59</v>
      </c>
      <c r="E57" s="54" t="s">
        <v>62</v>
      </c>
      <c r="F57" s="48">
        <v>57.5</v>
      </c>
      <c r="G57" s="48"/>
      <c r="H57" s="48"/>
      <c r="I57" s="48"/>
      <c r="J57" s="48"/>
      <c r="K57" s="52"/>
      <c r="L57" s="50" t="s">
        <v>88</v>
      </c>
    </row>
    <row r="58" spans="1:12" x14ac:dyDescent="0.3">
      <c r="A58" s="61"/>
      <c r="B58" s="52"/>
      <c r="C58" s="50" t="s">
        <v>59</v>
      </c>
      <c r="D58" s="50" t="s">
        <v>58</v>
      </c>
      <c r="E58" s="53" t="s">
        <v>60</v>
      </c>
      <c r="F58" s="48">
        <v>7</v>
      </c>
      <c r="G58" s="48"/>
      <c r="H58" s="48">
        <v>70</v>
      </c>
      <c r="I58" s="48">
        <v>70</v>
      </c>
      <c r="J58" s="48"/>
      <c r="K58" s="52"/>
      <c r="L58" s="50"/>
    </row>
    <row r="59" spans="1:12" x14ac:dyDescent="0.3">
      <c r="A59" s="61"/>
      <c r="B59" s="52"/>
      <c r="C59" s="50"/>
      <c r="D59" s="63"/>
      <c r="E59" s="54"/>
      <c r="F59" s="48"/>
      <c r="G59" s="48"/>
      <c r="H59" s="48"/>
      <c r="I59" s="48"/>
      <c r="J59" s="48"/>
      <c r="K59" s="52"/>
      <c r="L59" s="50"/>
    </row>
    <row r="60" spans="1:12" x14ac:dyDescent="0.3">
      <c r="A60" s="51"/>
      <c r="B60" s="50"/>
      <c r="C60" s="50"/>
      <c r="D60" s="50"/>
      <c r="E60" s="50"/>
      <c r="F60" s="64">
        <f t="shared" ref="F60:K60" si="0">SUM(F12:F59)</f>
        <v>944.5</v>
      </c>
      <c r="G60" s="64">
        <f t="shared" si="0"/>
        <v>1760</v>
      </c>
      <c r="H60" s="64">
        <f t="shared" si="0"/>
        <v>470</v>
      </c>
      <c r="I60" s="64">
        <f t="shared" si="0"/>
        <v>510</v>
      </c>
      <c r="J60" s="64">
        <f t="shared" si="0"/>
        <v>440</v>
      </c>
      <c r="K60" s="64">
        <f t="shared" si="0"/>
        <v>45</v>
      </c>
      <c r="L60" s="64"/>
    </row>
    <row r="61" spans="1:12" ht="12.75" hidden="1" customHeight="1" x14ac:dyDescent="0.3">
      <c r="A61" s="50"/>
      <c r="B61" s="50"/>
      <c r="C61" s="50"/>
      <c r="D61" s="50"/>
      <c r="E61" s="50"/>
      <c r="F61" s="64"/>
      <c r="G61" s="64"/>
      <c r="H61" s="64"/>
      <c r="I61" s="64"/>
      <c r="J61" s="64"/>
      <c r="K61" s="64" t="e">
        <f>#REF!+#REF!+#REF!+K60</f>
        <v>#REF!</v>
      </c>
      <c r="L61" s="64"/>
    </row>
    <row r="62" spans="1:12" x14ac:dyDescent="0.3">
      <c r="A62" s="40"/>
      <c r="B62" s="40"/>
      <c r="C62" s="40"/>
      <c r="D62" s="40"/>
      <c r="E62" s="40"/>
      <c r="F62" s="65"/>
      <c r="G62" s="221" t="s">
        <v>43</v>
      </c>
      <c r="H62" s="221"/>
      <c r="I62" s="221"/>
      <c r="J62" s="221"/>
      <c r="K62" s="222"/>
      <c r="L62" s="64">
        <f>F60+G60+H60+I60+J60+K60</f>
        <v>4169.5</v>
      </c>
    </row>
    <row r="63" spans="1:12" x14ac:dyDescent="0.3">
      <c r="A63" s="40"/>
      <c r="B63" s="40"/>
      <c r="C63" s="40"/>
      <c r="D63" s="40"/>
      <c r="E63" s="40"/>
      <c r="F63" s="65"/>
      <c r="G63" s="223" t="s">
        <v>44</v>
      </c>
      <c r="H63" s="223"/>
      <c r="I63" s="223"/>
      <c r="J63" s="223"/>
      <c r="K63" s="224"/>
      <c r="L63" s="64">
        <v>4500</v>
      </c>
    </row>
    <row r="64" spans="1:12" x14ac:dyDescent="0.3">
      <c r="A64" s="40"/>
      <c r="B64" s="40"/>
      <c r="C64" s="40"/>
      <c r="D64" s="40"/>
      <c r="E64" s="40"/>
      <c r="F64" s="65"/>
      <c r="G64" s="223" t="s">
        <v>43</v>
      </c>
      <c r="H64" s="223"/>
      <c r="I64" s="223"/>
      <c r="J64" s="223"/>
      <c r="K64" s="224"/>
      <c r="L64" s="64">
        <f>L63-L62</f>
        <v>330.5</v>
      </c>
    </row>
    <row r="67" spans="1:10" x14ac:dyDescent="0.3">
      <c r="A67" s="66" t="s">
        <v>45</v>
      </c>
      <c r="D67" s="67" t="s">
        <v>46</v>
      </c>
      <c r="E67" s="67"/>
      <c r="G67" s="68" t="s">
        <v>47</v>
      </c>
      <c r="H67" s="68"/>
      <c r="I67" s="68"/>
      <c r="J67" s="68"/>
    </row>
    <row r="68" spans="1:10" x14ac:dyDescent="0.3">
      <c r="D68" s="69"/>
      <c r="E68" s="69"/>
    </row>
    <row r="69" spans="1:10" ht="26" x14ac:dyDescent="0.3">
      <c r="A69" s="39" t="s">
        <v>89</v>
      </c>
      <c r="D69" s="70" t="s">
        <v>90</v>
      </c>
      <c r="E69" s="70"/>
      <c r="G69" s="39" t="s">
        <v>91</v>
      </c>
    </row>
  </sheetData>
  <mergeCells count="23">
    <mergeCell ref="A10:L10"/>
    <mergeCell ref="G62:K62"/>
    <mergeCell ref="G63:K63"/>
    <mergeCell ref="G64:K64"/>
    <mergeCell ref="F11:F12"/>
    <mergeCell ref="G11:G12"/>
    <mergeCell ref="K11:K12"/>
    <mergeCell ref="L11:L12"/>
    <mergeCell ref="H11:J11"/>
    <mergeCell ref="A11:A12"/>
    <mergeCell ref="B11:B12"/>
    <mergeCell ref="C11:C12"/>
    <mergeCell ref="D11:D12"/>
    <mergeCell ref="E11:E12"/>
    <mergeCell ref="A7:F7"/>
    <mergeCell ref="G7:L7"/>
    <mergeCell ref="A8:F8"/>
    <mergeCell ref="G8:L8"/>
    <mergeCell ref="A2:L2"/>
    <mergeCell ref="A3:L3"/>
    <mergeCell ref="A4:L4"/>
    <mergeCell ref="A5:L5"/>
    <mergeCell ref="A6:K6"/>
  </mergeCells>
  <pageMargins left="0.20000000000000004" right="0.20000000000000004" top="0.75" bottom="0.75" header="0.3" footer="0.3"/>
  <pageSetup paperSize="9" scale="73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5"/>
  <sheetViews>
    <sheetView workbookViewId="0">
      <selection activeCell="E69" sqref="E69"/>
    </sheetView>
  </sheetViews>
  <sheetFormatPr defaultColWidth="9.1796875" defaultRowHeight="13" x14ac:dyDescent="0.3"/>
  <cols>
    <col min="1" max="2" width="8" style="39" customWidth="1"/>
    <col min="3" max="3" width="16.7265625" style="39" customWidth="1"/>
    <col min="4" max="4" width="15.7265625" style="39" customWidth="1"/>
    <col min="5" max="5" width="13.7265625" style="39" customWidth="1"/>
    <col min="6" max="6" width="11" style="39" customWidth="1"/>
    <col min="7" max="7" width="10.81640625" style="39" customWidth="1"/>
    <col min="8" max="11" width="8.7265625" style="39" customWidth="1"/>
    <col min="12" max="12" width="31.26953125" style="39" customWidth="1"/>
    <col min="13" max="16384" width="9.1796875" style="39"/>
  </cols>
  <sheetData>
    <row r="1" spans="1:12" x14ac:dyDescent="0.3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23.5" x14ac:dyDescent="0.55000000000000004">
      <c r="A2" s="233" t="s">
        <v>0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</row>
    <row r="3" spans="1:12" ht="15.5" x14ac:dyDescent="0.35">
      <c r="A3" s="166" t="s">
        <v>1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4" spans="1:12" x14ac:dyDescent="0.3">
      <c r="A4" s="219"/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</row>
    <row r="5" spans="1:12" ht="15.5" x14ac:dyDescent="0.35">
      <c r="A5" s="234" t="s">
        <v>2</v>
      </c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</row>
    <row r="6" spans="1:12" x14ac:dyDescent="0.3">
      <c r="A6" s="219"/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40"/>
    </row>
    <row r="7" spans="1:12" ht="14.5" x14ac:dyDescent="0.35">
      <c r="A7" s="235" t="s">
        <v>92</v>
      </c>
      <c r="B7" s="235"/>
      <c r="C7" s="235"/>
      <c r="D7" s="235"/>
      <c r="E7" s="235"/>
      <c r="F7" s="235"/>
      <c r="G7" s="236" t="s">
        <v>93</v>
      </c>
      <c r="H7" s="236"/>
      <c r="I7" s="236"/>
      <c r="J7" s="236"/>
      <c r="K7" s="236"/>
      <c r="L7" s="236"/>
    </row>
    <row r="8" spans="1:12" ht="14.5" x14ac:dyDescent="0.35">
      <c r="A8" s="235" t="s">
        <v>94</v>
      </c>
      <c r="B8" s="235"/>
      <c r="C8" s="235"/>
      <c r="D8" s="235"/>
      <c r="E8" s="235"/>
      <c r="F8" s="235"/>
      <c r="G8" s="235" t="s">
        <v>6</v>
      </c>
      <c r="H8" s="235"/>
      <c r="I8" s="235"/>
      <c r="J8" s="235"/>
      <c r="K8" s="235"/>
      <c r="L8" s="235"/>
    </row>
    <row r="9" spans="1:12" ht="14.5" x14ac:dyDescent="0.35">
      <c r="A9" s="71" t="s">
        <v>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</row>
    <row r="10" spans="1:12" x14ac:dyDescent="0.3">
      <c r="A10" s="220"/>
      <c r="B10" s="220"/>
      <c r="C10" s="220"/>
      <c r="D10" s="220"/>
      <c r="E10" s="220"/>
      <c r="F10" s="220"/>
      <c r="G10" s="220"/>
      <c r="H10" s="220"/>
      <c r="I10" s="220"/>
      <c r="J10" s="220"/>
      <c r="K10" s="220"/>
      <c r="L10" s="220"/>
    </row>
    <row r="11" spans="1:12" ht="20.25" customHeight="1" x14ac:dyDescent="0.3">
      <c r="A11" s="225" t="s">
        <v>8</v>
      </c>
      <c r="B11" s="225" t="s">
        <v>9</v>
      </c>
      <c r="C11" s="225" t="s">
        <v>10</v>
      </c>
      <c r="D11" s="225" t="s">
        <v>11</v>
      </c>
      <c r="E11" s="231" t="s">
        <v>12</v>
      </c>
      <c r="F11" s="225" t="s">
        <v>13</v>
      </c>
      <c r="G11" s="225" t="s">
        <v>14</v>
      </c>
      <c r="H11" s="230" t="s">
        <v>15</v>
      </c>
      <c r="I11" s="230"/>
      <c r="J11" s="230"/>
      <c r="K11" s="228" t="s">
        <v>16</v>
      </c>
      <c r="L11" s="225" t="s">
        <v>17</v>
      </c>
    </row>
    <row r="12" spans="1:12" ht="14.25" customHeight="1" x14ac:dyDescent="0.3">
      <c r="A12" s="226"/>
      <c r="B12" s="226"/>
      <c r="C12" s="226"/>
      <c r="D12" s="226"/>
      <c r="E12" s="232"/>
      <c r="F12" s="226"/>
      <c r="G12" s="227"/>
      <c r="H12" s="43" t="s">
        <v>18</v>
      </c>
      <c r="I12" s="43" t="s">
        <v>19</v>
      </c>
      <c r="J12" s="43" t="s">
        <v>20</v>
      </c>
      <c r="K12" s="229"/>
      <c r="L12" s="226"/>
    </row>
    <row r="13" spans="1:12" ht="14.5" x14ac:dyDescent="0.35">
      <c r="A13" s="44">
        <v>42639</v>
      </c>
      <c r="B13" s="52" t="s">
        <v>95</v>
      </c>
      <c r="C13" s="46" t="s">
        <v>96</v>
      </c>
      <c r="D13" s="47" t="s">
        <v>97</v>
      </c>
      <c r="E13" s="52" t="s">
        <v>98</v>
      </c>
      <c r="F13" s="72">
        <v>12</v>
      </c>
      <c r="G13" s="72"/>
      <c r="H13" s="73"/>
      <c r="I13" s="73"/>
      <c r="J13" s="73"/>
      <c r="K13" s="74"/>
      <c r="L13" s="50"/>
    </row>
    <row r="14" spans="1:12" ht="14.5" x14ac:dyDescent="0.35">
      <c r="A14" s="44"/>
      <c r="B14" s="52"/>
      <c r="C14" s="46" t="s">
        <v>97</v>
      </c>
      <c r="D14" s="47" t="s">
        <v>99</v>
      </c>
      <c r="E14" s="75" t="s">
        <v>60</v>
      </c>
      <c r="F14" s="72">
        <v>7</v>
      </c>
      <c r="G14" s="72"/>
      <c r="H14" s="72"/>
      <c r="I14" s="72"/>
      <c r="J14" s="72"/>
      <c r="K14" s="74"/>
      <c r="L14" s="50"/>
    </row>
    <row r="15" spans="1:12" ht="14.5" x14ac:dyDescent="0.35">
      <c r="A15" s="44"/>
      <c r="B15" s="52"/>
      <c r="C15" s="53" t="s">
        <v>100</v>
      </c>
      <c r="D15" s="54" t="s">
        <v>101</v>
      </c>
      <c r="E15" s="62" t="s">
        <v>62</v>
      </c>
      <c r="F15" s="72"/>
      <c r="G15" s="72"/>
      <c r="H15" s="72"/>
      <c r="I15" s="72"/>
      <c r="J15" s="72"/>
      <c r="K15" s="74"/>
      <c r="L15" s="52" t="s">
        <v>102</v>
      </c>
    </row>
    <row r="16" spans="1:12" ht="14.5" x14ac:dyDescent="0.35">
      <c r="A16" s="44"/>
      <c r="B16" s="55"/>
      <c r="C16" s="53" t="s">
        <v>103</v>
      </c>
      <c r="D16" s="54" t="s">
        <v>104</v>
      </c>
      <c r="E16" s="62"/>
      <c r="F16" s="76">
        <v>230</v>
      </c>
      <c r="G16" s="72"/>
      <c r="H16" s="72"/>
      <c r="I16" s="72"/>
      <c r="J16" s="72"/>
      <c r="K16" s="74"/>
      <c r="L16" s="52"/>
    </row>
    <row r="17" spans="1:12" ht="14.5" x14ac:dyDescent="0.35">
      <c r="A17" s="44"/>
      <c r="B17" s="55"/>
      <c r="C17" s="52"/>
      <c r="D17" s="62"/>
      <c r="E17" s="62"/>
      <c r="F17" s="76">
        <v>30</v>
      </c>
      <c r="G17" s="72"/>
      <c r="H17" s="72"/>
      <c r="I17" s="72"/>
      <c r="J17" s="72"/>
      <c r="K17" s="74"/>
      <c r="L17" s="52" t="s">
        <v>105</v>
      </c>
    </row>
    <row r="18" spans="1:12" ht="14.5" x14ac:dyDescent="0.35">
      <c r="A18" s="44"/>
      <c r="B18" s="55"/>
      <c r="C18" s="53" t="s">
        <v>106</v>
      </c>
      <c r="D18" s="53" t="s">
        <v>77</v>
      </c>
      <c r="E18" s="62" t="s">
        <v>107</v>
      </c>
      <c r="F18" s="76">
        <v>10</v>
      </c>
      <c r="G18" s="72"/>
      <c r="H18" s="72"/>
      <c r="I18" s="72"/>
      <c r="J18" s="72"/>
      <c r="K18" s="74"/>
      <c r="L18" s="52"/>
    </row>
    <row r="19" spans="1:12" ht="14.5" x14ac:dyDescent="0.35">
      <c r="A19" s="44"/>
      <c r="B19" s="55"/>
      <c r="C19" s="53" t="s">
        <v>77</v>
      </c>
      <c r="D19" s="54" t="s">
        <v>108</v>
      </c>
      <c r="E19" s="62" t="s">
        <v>62</v>
      </c>
      <c r="F19" s="76"/>
      <c r="G19" s="72"/>
      <c r="H19" s="72"/>
      <c r="I19" s="72"/>
      <c r="J19" s="72"/>
      <c r="K19" s="74"/>
      <c r="L19" s="52" t="s">
        <v>102</v>
      </c>
    </row>
    <row r="20" spans="1:12" ht="14.5" x14ac:dyDescent="0.35">
      <c r="A20" s="44"/>
      <c r="B20" s="55"/>
      <c r="C20" s="53" t="s">
        <v>108</v>
      </c>
      <c r="D20" s="54" t="s">
        <v>109</v>
      </c>
      <c r="E20" s="62" t="s">
        <v>110</v>
      </c>
      <c r="F20" s="76"/>
      <c r="G20" s="72">
        <v>160</v>
      </c>
      <c r="H20" s="72"/>
      <c r="I20" s="48">
        <v>40</v>
      </c>
      <c r="J20" s="48">
        <v>40</v>
      </c>
      <c r="K20" s="74"/>
      <c r="L20" s="52" t="s">
        <v>102</v>
      </c>
    </row>
    <row r="21" spans="1:12" ht="14.5" x14ac:dyDescent="0.35">
      <c r="A21" s="44"/>
      <c r="B21" s="55"/>
      <c r="C21" s="53"/>
      <c r="D21" s="54"/>
      <c r="E21" s="62"/>
      <c r="F21" s="76"/>
      <c r="G21" s="72"/>
      <c r="H21" s="72"/>
      <c r="I21" s="48"/>
      <c r="J21" s="48"/>
      <c r="K21" s="74"/>
      <c r="L21" s="50"/>
    </row>
    <row r="22" spans="1:12" ht="14.5" x14ac:dyDescent="0.35">
      <c r="A22" s="44">
        <v>42640</v>
      </c>
      <c r="B22" s="55"/>
      <c r="C22" s="53" t="s">
        <v>109</v>
      </c>
      <c r="D22" s="54" t="s">
        <v>111</v>
      </c>
      <c r="E22" s="62" t="s">
        <v>60</v>
      </c>
      <c r="F22" s="76">
        <v>7</v>
      </c>
      <c r="G22" s="72"/>
      <c r="H22" s="72"/>
      <c r="I22" s="72"/>
      <c r="J22" s="72"/>
      <c r="K22" s="74"/>
      <c r="L22" s="50"/>
    </row>
    <row r="23" spans="1:12" ht="14.5" x14ac:dyDescent="0.35">
      <c r="A23" s="44"/>
      <c r="B23" s="55"/>
      <c r="C23" s="53" t="s">
        <v>111</v>
      </c>
      <c r="D23" s="53" t="s">
        <v>109</v>
      </c>
      <c r="E23" s="62" t="s">
        <v>60</v>
      </c>
      <c r="F23" s="76">
        <v>7</v>
      </c>
      <c r="G23" s="72"/>
      <c r="H23" s="72"/>
      <c r="I23" s="72"/>
      <c r="J23" s="72"/>
      <c r="K23" s="74"/>
      <c r="L23" s="50"/>
    </row>
    <row r="24" spans="1:12" ht="14.5" x14ac:dyDescent="0.35">
      <c r="A24" s="44"/>
      <c r="B24" s="55"/>
      <c r="C24" s="53" t="s">
        <v>109</v>
      </c>
      <c r="D24" s="58" t="s">
        <v>77</v>
      </c>
      <c r="E24" s="62" t="s">
        <v>60</v>
      </c>
      <c r="F24" s="76">
        <v>7</v>
      </c>
      <c r="G24" s="72"/>
      <c r="H24" s="72"/>
      <c r="I24" s="72"/>
      <c r="J24" s="72"/>
      <c r="K24" s="74"/>
      <c r="L24" s="50"/>
    </row>
    <row r="25" spans="1:12" ht="14.5" x14ac:dyDescent="0.35">
      <c r="A25" s="44"/>
      <c r="B25" s="55"/>
      <c r="C25" s="53" t="s">
        <v>77</v>
      </c>
      <c r="D25" s="53" t="s">
        <v>109</v>
      </c>
      <c r="E25" s="62" t="s">
        <v>60</v>
      </c>
      <c r="F25" s="76">
        <v>7</v>
      </c>
      <c r="G25" s="72">
        <v>160</v>
      </c>
      <c r="H25" s="72">
        <v>40</v>
      </c>
      <c r="I25" s="72">
        <v>40</v>
      </c>
      <c r="J25" s="72">
        <v>40</v>
      </c>
      <c r="K25" s="74"/>
      <c r="L25" s="50"/>
    </row>
    <row r="26" spans="1:12" ht="14.5" x14ac:dyDescent="0.35">
      <c r="A26" s="44"/>
      <c r="B26" s="55"/>
      <c r="C26" s="50"/>
      <c r="D26" s="50"/>
      <c r="E26" s="63"/>
      <c r="F26" s="76"/>
      <c r="G26" s="72"/>
      <c r="H26" s="72"/>
      <c r="I26" s="72"/>
      <c r="J26" s="72"/>
      <c r="K26" s="74"/>
      <c r="L26" s="50"/>
    </row>
    <row r="27" spans="1:12" ht="14.5" x14ac:dyDescent="0.35">
      <c r="A27" s="44">
        <v>42641</v>
      </c>
      <c r="B27" s="55"/>
      <c r="C27" s="53" t="s">
        <v>109</v>
      </c>
      <c r="D27" s="53" t="s">
        <v>77</v>
      </c>
      <c r="E27" s="62" t="s">
        <v>112</v>
      </c>
      <c r="F27" s="76">
        <v>7</v>
      </c>
      <c r="G27" s="72"/>
      <c r="H27" s="72"/>
      <c r="I27" s="72"/>
      <c r="J27" s="72"/>
      <c r="K27" s="74"/>
      <c r="L27" s="50"/>
    </row>
    <row r="28" spans="1:12" ht="14.5" x14ac:dyDescent="0.35">
      <c r="A28" s="44"/>
      <c r="B28" s="55"/>
      <c r="C28" s="53" t="s">
        <v>77</v>
      </c>
      <c r="D28" s="54" t="s">
        <v>113</v>
      </c>
      <c r="E28" s="62" t="s">
        <v>110</v>
      </c>
      <c r="F28" s="76">
        <v>64.5</v>
      </c>
      <c r="G28" s="72"/>
      <c r="H28" s="72"/>
      <c r="I28" s="72"/>
      <c r="J28" s="72"/>
      <c r="K28" s="74"/>
      <c r="L28" s="52">
        <v>35955</v>
      </c>
    </row>
    <row r="29" spans="1:12" ht="14.5" x14ac:dyDescent="0.35">
      <c r="A29" s="44"/>
      <c r="B29" s="55"/>
      <c r="C29" s="53" t="s">
        <v>113</v>
      </c>
      <c r="D29" s="54" t="s">
        <v>114</v>
      </c>
      <c r="E29" s="62" t="s">
        <v>115</v>
      </c>
      <c r="F29" s="76">
        <v>25</v>
      </c>
      <c r="G29" s="72"/>
      <c r="H29" s="72"/>
      <c r="I29" s="72"/>
      <c r="J29" s="72"/>
      <c r="K29" s="74"/>
      <c r="L29" s="52">
        <v>3048972</v>
      </c>
    </row>
    <row r="30" spans="1:12" ht="14.5" x14ac:dyDescent="0.35">
      <c r="A30" s="44"/>
      <c r="B30" s="55"/>
      <c r="C30" s="53" t="s">
        <v>114</v>
      </c>
      <c r="D30" s="54" t="s">
        <v>116</v>
      </c>
      <c r="E30" s="62" t="s">
        <v>107</v>
      </c>
      <c r="F30" s="76">
        <v>10</v>
      </c>
      <c r="G30" s="72">
        <v>160</v>
      </c>
      <c r="H30" s="72">
        <v>40</v>
      </c>
      <c r="I30" s="72">
        <v>40</v>
      </c>
      <c r="J30" s="72">
        <v>40</v>
      </c>
      <c r="K30" s="74"/>
      <c r="L30" s="50"/>
    </row>
    <row r="31" spans="1:12" ht="14.5" x14ac:dyDescent="0.35">
      <c r="A31" s="44"/>
      <c r="B31" s="55"/>
      <c r="C31" s="53"/>
      <c r="D31" s="54"/>
      <c r="E31" s="62"/>
      <c r="F31" s="76"/>
      <c r="G31" s="72"/>
      <c r="H31" s="72"/>
      <c r="I31" s="72"/>
      <c r="J31" s="72"/>
      <c r="K31" s="74"/>
      <c r="L31" s="50"/>
    </row>
    <row r="32" spans="1:12" ht="14.5" x14ac:dyDescent="0.35">
      <c r="A32" s="44">
        <v>42642</v>
      </c>
      <c r="B32" s="55"/>
      <c r="C32" s="53" t="s">
        <v>117</v>
      </c>
      <c r="D32" s="54" t="s">
        <v>118</v>
      </c>
      <c r="E32" s="62" t="s">
        <v>107</v>
      </c>
      <c r="F32" s="76">
        <v>10</v>
      </c>
      <c r="G32" s="72"/>
      <c r="H32" s="72"/>
      <c r="I32" s="72"/>
      <c r="J32" s="72"/>
      <c r="K32" s="74"/>
      <c r="L32" s="50"/>
    </row>
    <row r="33" spans="1:12" ht="14.5" x14ac:dyDescent="0.35">
      <c r="A33" s="44"/>
      <c r="B33" s="55"/>
      <c r="C33" s="53" t="s">
        <v>118</v>
      </c>
      <c r="D33" s="54" t="s">
        <v>119</v>
      </c>
      <c r="E33" s="62" t="s">
        <v>115</v>
      </c>
      <c r="F33" s="76">
        <v>67</v>
      </c>
      <c r="G33" s="72"/>
      <c r="H33" s="72"/>
      <c r="I33" s="72"/>
      <c r="J33" s="72"/>
      <c r="K33" s="74"/>
      <c r="L33" s="52">
        <v>2533581</v>
      </c>
    </row>
    <row r="34" spans="1:12" ht="14.5" x14ac:dyDescent="0.35">
      <c r="A34" s="44"/>
      <c r="B34" s="55"/>
      <c r="C34" s="53" t="s">
        <v>120</v>
      </c>
      <c r="D34" s="54" t="s">
        <v>121</v>
      </c>
      <c r="E34" s="62" t="s">
        <v>107</v>
      </c>
      <c r="F34" s="76">
        <v>10</v>
      </c>
      <c r="G34" s="72">
        <v>160</v>
      </c>
      <c r="H34" s="72">
        <v>40</v>
      </c>
      <c r="I34" s="72">
        <v>40</v>
      </c>
      <c r="J34" s="72">
        <v>40</v>
      </c>
      <c r="K34" s="74"/>
      <c r="L34" s="50"/>
    </row>
    <row r="35" spans="1:12" ht="14.5" x14ac:dyDescent="0.35">
      <c r="A35" s="44"/>
      <c r="B35" s="55"/>
      <c r="C35" s="53"/>
      <c r="D35" s="54"/>
      <c r="E35" s="62"/>
      <c r="F35" s="76"/>
      <c r="G35" s="72"/>
      <c r="H35" s="72"/>
      <c r="I35" s="72"/>
      <c r="J35" s="72"/>
      <c r="K35" s="74"/>
      <c r="L35" s="50"/>
    </row>
    <row r="36" spans="1:12" ht="14.5" x14ac:dyDescent="0.35">
      <c r="A36" s="44">
        <v>42643</v>
      </c>
      <c r="B36" s="55"/>
      <c r="C36" s="53" t="s">
        <v>122</v>
      </c>
      <c r="D36" s="54" t="s">
        <v>123</v>
      </c>
      <c r="E36" s="62" t="s">
        <v>107</v>
      </c>
      <c r="F36" s="76">
        <v>10</v>
      </c>
      <c r="G36" s="72"/>
      <c r="H36" s="72"/>
      <c r="I36" s="72"/>
      <c r="J36" s="72"/>
      <c r="K36" s="74"/>
      <c r="L36" s="50"/>
    </row>
    <row r="37" spans="1:12" ht="14.5" x14ac:dyDescent="0.35">
      <c r="A37" s="44"/>
      <c r="B37" s="55"/>
      <c r="C37" s="53" t="s">
        <v>123</v>
      </c>
      <c r="D37" s="54" t="s">
        <v>124</v>
      </c>
      <c r="E37" s="62" t="s">
        <v>125</v>
      </c>
      <c r="F37" s="76">
        <v>62</v>
      </c>
      <c r="G37" s="72"/>
      <c r="H37" s="72"/>
      <c r="I37" s="72"/>
      <c r="J37" s="72"/>
      <c r="K37" s="74"/>
      <c r="L37" s="52">
        <v>3244462</v>
      </c>
    </row>
    <row r="38" spans="1:12" ht="14.5" x14ac:dyDescent="0.35">
      <c r="A38" s="44"/>
      <c r="B38" s="55"/>
      <c r="C38" s="53" t="s">
        <v>124</v>
      </c>
      <c r="D38" s="54" t="s">
        <v>126</v>
      </c>
      <c r="E38" s="62"/>
      <c r="F38" s="76"/>
      <c r="G38" s="72"/>
      <c r="H38" s="72"/>
      <c r="I38" s="72"/>
      <c r="J38" s="72"/>
      <c r="K38" s="74"/>
      <c r="L38" s="62" t="s">
        <v>127</v>
      </c>
    </row>
    <row r="39" spans="1:12" ht="14.5" x14ac:dyDescent="0.35">
      <c r="A39" s="44"/>
      <c r="B39" s="55"/>
      <c r="C39" s="53" t="s">
        <v>126</v>
      </c>
      <c r="D39" s="54" t="s">
        <v>128</v>
      </c>
      <c r="E39" s="62" t="s">
        <v>107</v>
      </c>
      <c r="F39" s="76">
        <v>10</v>
      </c>
      <c r="G39" s="72">
        <v>160</v>
      </c>
      <c r="H39" s="72">
        <v>40</v>
      </c>
      <c r="I39" s="72">
        <v>40</v>
      </c>
      <c r="J39" s="72">
        <v>40</v>
      </c>
      <c r="K39" s="74"/>
      <c r="L39" s="50"/>
    </row>
    <row r="40" spans="1:12" ht="14.5" x14ac:dyDescent="0.35">
      <c r="A40" s="44"/>
      <c r="B40" s="55"/>
      <c r="C40" s="53"/>
      <c r="D40" s="54"/>
      <c r="E40" s="62"/>
      <c r="F40" s="76"/>
      <c r="G40" s="72"/>
      <c r="H40" s="72"/>
      <c r="I40" s="72"/>
      <c r="J40" s="72"/>
      <c r="K40" s="74"/>
      <c r="L40" s="50"/>
    </row>
    <row r="41" spans="1:12" ht="14.5" x14ac:dyDescent="0.35">
      <c r="A41" s="44">
        <v>42644</v>
      </c>
      <c r="B41" s="55"/>
      <c r="C41" s="53"/>
      <c r="D41" s="54"/>
      <c r="E41" s="62"/>
      <c r="F41" s="76"/>
      <c r="G41" s="72">
        <v>160</v>
      </c>
      <c r="H41" s="72">
        <v>40</v>
      </c>
      <c r="I41" s="72">
        <v>40</v>
      </c>
      <c r="J41" s="72">
        <v>40</v>
      </c>
      <c r="K41" s="74"/>
      <c r="L41" s="52" t="s">
        <v>129</v>
      </c>
    </row>
    <row r="42" spans="1:12" ht="14.5" x14ac:dyDescent="0.35">
      <c r="A42" s="44">
        <v>42645</v>
      </c>
      <c r="B42" s="55"/>
      <c r="C42" s="53"/>
      <c r="D42" s="54"/>
      <c r="E42" s="62"/>
      <c r="F42" s="76"/>
      <c r="G42" s="72">
        <v>160</v>
      </c>
      <c r="H42" s="72">
        <v>40</v>
      </c>
      <c r="I42" s="72">
        <v>40</v>
      </c>
      <c r="J42" s="72">
        <v>40</v>
      </c>
      <c r="K42" s="74"/>
      <c r="L42" s="52" t="s">
        <v>129</v>
      </c>
    </row>
    <row r="43" spans="1:12" ht="14.5" x14ac:dyDescent="0.35">
      <c r="A43" s="44"/>
      <c r="B43" s="55"/>
      <c r="C43" s="53"/>
      <c r="D43" s="54"/>
      <c r="E43" s="62"/>
      <c r="F43" s="76"/>
      <c r="G43" s="72"/>
      <c r="H43" s="72"/>
      <c r="I43" s="72"/>
      <c r="J43" s="72"/>
      <c r="K43" s="74"/>
      <c r="L43" s="50"/>
    </row>
    <row r="44" spans="1:12" ht="14.5" x14ac:dyDescent="0.35">
      <c r="A44" s="44">
        <v>42646</v>
      </c>
      <c r="B44" s="55"/>
      <c r="C44" s="53" t="s">
        <v>128</v>
      </c>
      <c r="D44" s="54" t="s">
        <v>111</v>
      </c>
      <c r="E44" s="62" t="s">
        <v>107</v>
      </c>
      <c r="F44" s="76">
        <v>10</v>
      </c>
      <c r="G44" s="72"/>
      <c r="H44" s="72"/>
      <c r="I44" s="72"/>
      <c r="J44" s="72"/>
      <c r="K44" s="74"/>
      <c r="L44" s="50"/>
    </row>
    <row r="45" spans="1:12" ht="14.5" x14ac:dyDescent="0.35">
      <c r="A45" s="44"/>
      <c r="B45" s="55"/>
      <c r="C45" s="53" t="s">
        <v>111</v>
      </c>
      <c r="D45" s="54" t="s">
        <v>128</v>
      </c>
      <c r="E45" s="62" t="s">
        <v>107</v>
      </c>
      <c r="F45" s="76">
        <v>10</v>
      </c>
      <c r="G45" s="72"/>
      <c r="H45" s="72"/>
      <c r="I45" s="72"/>
      <c r="J45" s="72"/>
      <c r="K45" s="74"/>
      <c r="L45" s="50"/>
    </row>
    <row r="46" spans="1:12" ht="14.5" x14ac:dyDescent="0.35">
      <c r="A46" s="44"/>
      <c r="B46" s="55"/>
      <c r="C46" s="53" t="s">
        <v>128</v>
      </c>
      <c r="D46" s="54" t="s">
        <v>111</v>
      </c>
      <c r="E46" s="62" t="s">
        <v>107</v>
      </c>
      <c r="F46" s="76">
        <v>10</v>
      </c>
      <c r="G46" s="72"/>
      <c r="H46" s="72"/>
      <c r="I46" s="72"/>
      <c r="J46" s="72"/>
      <c r="K46" s="74"/>
      <c r="L46" s="50"/>
    </row>
    <row r="47" spans="1:12" ht="14.5" x14ac:dyDescent="0.35">
      <c r="A47" s="44"/>
      <c r="B47" s="55"/>
      <c r="C47" s="53" t="s">
        <v>111</v>
      </c>
      <c r="D47" s="54" t="s">
        <v>128</v>
      </c>
      <c r="E47" s="62" t="s">
        <v>107</v>
      </c>
      <c r="F47" s="76">
        <v>10</v>
      </c>
      <c r="G47" s="72">
        <v>160</v>
      </c>
      <c r="H47" s="72">
        <v>40</v>
      </c>
      <c r="I47" s="72">
        <v>40</v>
      </c>
      <c r="J47" s="72">
        <v>40</v>
      </c>
      <c r="K47" s="74"/>
      <c r="L47" s="50"/>
    </row>
    <row r="48" spans="1:12" ht="14.5" x14ac:dyDescent="0.35">
      <c r="A48" s="44"/>
      <c r="B48" s="55"/>
      <c r="C48" s="53"/>
      <c r="D48" s="54"/>
      <c r="E48" s="62"/>
      <c r="F48" s="76"/>
      <c r="G48" s="72"/>
      <c r="H48" s="72"/>
      <c r="I48" s="72"/>
      <c r="J48" s="72"/>
      <c r="K48" s="74"/>
      <c r="L48" s="50"/>
    </row>
    <row r="49" spans="1:12" ht="14.5" x14ac:dyDescent="0.35">
      <c r="A49" s="44">
        <v>42647</v>
      </c>
      <c r="B49" s="55"/>
      <c r="C49" s="50" t="s">
        <v>128</v>
      </c>
      <c r="D49" s="63" t="s">
        <v>77</v>
      </c>
      <c r="E49" s="62" t="s">
        <v>60</v>
      </c>
      <c r="F49" s="76">
        <v>7</v>
      </c>
      <c r="G49" s="72"/>
      <c r="H49" s="72"/>
      <c r="I49" s="72"/>
      <c r="J49" s="72"/>
      <c r="K49" s="74"/>
      <c r="L49" s="50"/>
    </row>
    <row r="50" spans="1:12" ht="14.5" x14ac:dyDescent="0.35">
      <c r="A50" s="44"/>
      <c r="B50" s="55"/>
      <c r="C50" s="50" t="s">
        <v>77</v>
      </c>
      <c r="D50" s="63" t="s">
        <v>130</v>
      </c>
      <c r="E50" s="62" t="s">
        <v>110</v>
      </c>
      <c r="F50" s="76">
        <v>68</v>
      </c>
      <c r="G50" s="72"/>
      <c r="H50" s="72"/>
      <c r="I50" s="72"/>
      <c r="J50" s="72"/>
      <c r="K50" s="74"/>
      <c r="L50" s="52">
        <v>989</v>
      </c>
    </row>
    <row r="51" spans="1:12" ht="14.5" x14ac:dyDescent="0.35">
      <c r="A51" s="44"/>
      <c r="B51" s="52"/>
      <c r="C51" s="50" t="s">
        <v>130</v>
      </c>
      <c r="D51" s="63" t="s">
        <v>131</v>
      </c>
      <c r="E51" s="62" t="s">
        <v>125</v>
      </c>
      <c r="F51" s="72">
        <v>25</v>
      </c>
      <c r="G51" s="72"/>
      <c r="H51" s="72"/>
      <c r="I51" s="72"/>
      <c r="J51" s="72"/>
      <c r="K51" s="74"/>
      <c r="L51" s="52">
        <v>3048973</v>
      </c>
    </row>
    <row r="52" spans="1:12" ht="14.5" x14ac:dyDescent="0.35">
      <c r="A52" s="44"/>
      <c r="B52" s="52"/>
      <c r="C52" s="50" t="s">
        <v>131</v>
      </c>
      <c r="D52" s="63" t="s">
        <v>132</v>
      </c>
      <c r="E52" s="62" t="s">
        <v>133</v>
      </c>
      <c r="F52" s="72">
        <v>10</v>
      </c>
      <c r="G52" s="72">
        <v>160</v>
      </c>
      <c r="H52" s="72">
        <v>40</v>
      </c>
      <c r="I52" s="72">
        <v>40</v>
      </c>
      <c r="J52" s="72">
        <v>40</v>
      </c>
      <c r="K52" s="74"/>
      <c r="L52" s="50"/>
    </row>
    <row r="53" spans="1:12" ht="14.5" x14ac:dyDescent="0.35">
      <c r="A53" s="44"/>
      <c r="B53" s="52"/>
      <c r="C53" s="50"/>
      <c r="D53" s="63"/>
      <c r="E53" s="62"/>
      <c r="F53" s="72"/>
      <c r="G53" s="72"/>
      <c r="H53" s="72"/>
      <c r="I53" s="72"/>
      <c r="J53" s="72"/>
      <c r="K53" s="74"/>
      <c r="L53" s="50"/>
    </row>
    <row r="54" spans="1:12" ht="14.5" x14ac:dyDescent="0.35">
      <c r="A54" s="44">
        <v>42648</v>
      </c>
      <c r="B54" s="52"/>
      <c r="C54" s="50"/>
      <c r="D54" s="63"/>
      <c r="E54" s="62"/>
      <c r="F54" s="72"/>
      <c r="G54" s="72">
        <v>160</v>
      </c>
      <c r="H54" s="72">
        <v>40</v>
      </c>
      <c r="I54" s="72">
        <v>40</v>
      </c>
      <c r="J54" s="72">
        <v>40</v>
      </c>
      <c r="K54" s="74"/>
      <c r="L54" s="50"/>
    </row>
    <row r="55" spans="1:12" ht="14.5" x14ac:dyDescent="0.35">
      <c r="A55" s="44">
        <v>42649</v>
      </c>
      <c r="B55" s="52"/>
      <c r="C55" s="50"/>
      <c r="D55" s="63"/>
      <c r="E55" s="62"/>
      <c r="F55" s="72"/>
      <c r="G55" s="72">
        <v>160</v>
      </c>
      <c r="H55" s="72">
        <v>40</v>
      </c>
      <c r="I55" s="72">
        <v>40</v>
      </c>
      <c r="J55" s="72">
        <v>40</v>
      </c>
      <c r="K55" s="74"/>
      <c r="L55" s="50"/>
    </row>
    <row r="56" spans="1:12" ht="14.5" x14ac:dyDescent="0.35">
      <c r="A56" s="44"/>
      <c r="B56" s="52"/>
      <c r="C56" s="50"/>
      <c r="D56" s="63"/>
      <c r="E56" s="62"/>
      <c r="F56" s="72"/>
      <c r="G56" s="72"/>
      <c r="H56" s="72"/>
      <c r="I56" s="72"/>
      <c r="J56" s="72"/>
      <c r="K56" s="74"/>
      <c r="L56" s="50"/>
    </row>
    <row r="57" spans="1:12" ht="14.5" x14ac:dyDescent="0.35">
      <c r="A57" s="44">
        <v>42650</v>
      </c>
      <c r="B57" s="52"/>
      <c r="C57" s="50" t="s">
        <v>132</v>
      </c>
      <c r="D57" s="63" t="s">
        <v>134</v>
      </c>
      <c r="E57" s="62" t="s">
        <v>133</v>
      </c>
      <c r="F57" s="72">
        <v>10</v>
      </c>
      <c r="G57" s="72"/>
      <c r="H57" s="72"/>
      <c r="I57" s="72"/>
      <c r="J57" s="72"/>
      <c r="K57" s="74"/>
      <c r="L57" s="50"/>
    </row>
    <row r="58" spans="1:12" ht="14.5" x14ac:dyDescent="0.35">
      <c r="A58" s="44"/>
      <c r="B58" s="52"/>
      <c r="C58" s="50" t="s">
        <v>134</v>
      </c>
      <c r="D58" s="63" t="s">
        <v>135</v>
      </c>
      <c r="E58" s="62" t="s">
        <v>125</v>
      </c>
      <c r="F58" s="72">
        <v>20</v>
      </c>
      <c r="G58" s="72"/>
      <c r="H58" s="72"/>
      <c r="I58" s="72"/>
      <c r="J58" s="72"/>
      <c r="K58" s="74"/>
      <c r="L58" s="52">
        <v>3553507</v>
      </c>
    </row>
    <row r="59" spans="1:12" ht="14.5" x14ac:dyDescent="0.35">
      <c r="A59" s="44"/>
      <c r="B59" s="52"/>
      <c r="C59" s="50" t="s">
        <v>135</v>
      </c>
      <c r="D59" s="63" t="s">
        <v>128</v>
      </c>
      <c r="E59" s="62" t="s">
        <v>136</v>
      </c>
      <c r="F59" s="72">
        <v>90</v>
      </c>
      <c r="G59" s="72">
        <v>160</v>
      </c>
      <c r="H59" s="72">
        <v>40</v>
      </c>
      <c r="I59" s="72">
        <v>40</v>
      </c>
      <c r="J59" s="72">
        <v>40</v>
      </c>
      <c r="K59" s="74"/>
      <c r="L59" s="52">
        <v>7126</v>
      </c>
    </row>
    <row r="60" spans="1:12" ht="14.5" x14ac:dyDescent="0.35">
      <c r="A60" s="44"/>
      <c r="B60" s="52"/>
      <c r="C60" s="50"/>
      <c r="D60" s="63"/>
      <c r="E60" s="62"/>
      <c r="F60" s="72"/>
      <c r="G60" s="72"/>
      <c r="H60" s="72"/>
      <c r="I60" s="72"/>
      <c r="J60" s="72"/>
      <c r="K60" s="74"/>
      <c r="L60" s="50"/>
    </row>
    <row r="61" spans="1:12" ht="14.5" x14ac:dyDescent="0.35">
      <c r="A61" s="44">
        <v>42651</v>
      </c>
      <c r="B61" s="45">
        <v>0.33333333333333298</v>
      </c>
      <c r="C61" s="63" t="s">
        <v>128</v>
      </c>
      <c r="D61" s="62" t="s">
        <v>137</v>
      </c>
      <c r="E61" s="62" t="s">
        <v>112</v>
      </c>
      <c r="F61" s="72">
        <v>7</v>
      </c>
      <c r="G61" s="72"/>
      <c r="H61" s="72">
        <v>70</v>
      </c>
      <c r="I61" s="72"/>
      <c r="J61" s="72"/>
      <c r="K61" s="74"/>
      <c r="L61" s="50"/>
    </row>
    <row r="62" spans="1:12" ht="14.5" x14ac:dyDescent="0.35">
      <c r="A62" s="51"/>
      <c r="B62" s="52"/>
      <c r="C62" s="54" t="s">
        <v>137</v>
      </c>
      <c r="D62" s="62" t="s">
        <v>138</v>
      </c>
      <c r="E62" s="62" t="s">
        <v>98</v>
      </c>
      <c r="F62" s="72">
        <v>10</v>
      </c>
      <c r="G62" s="72"/>
      <c r="H62" s="72"/>
      <c r="I62" s="72"/>
      <c r="J62" s="72"/>
      <c r="K62" s="74"/>
      <c r="L62" s="50"/>
    </row>
    <row r="63" spans="1:12" ht="14.5" x14ac:dyDescent="0.35">
      <c r="A63" s="61"/>
      <c r="B63" s="52"/>
      <c r="C63" s="53" t="s">
        <v>139</v>
      </c>
      <c r="D63" s="54" t="s">
        <v>140</v>
      </c>
      <c r="E63" s="52" t="s">
        <v>141</v>
      </c>
      <c r="F63" s="72">
        <v>260</v>
      </c>
      <c r="G63" s="72"/>
      <c r="H63" s="72"/>
      <c r="I63" s="72"/>
      <c r="J63" s="72"/>
      <c r="K63" s="74"/>
      <c r="L63" s="50"/>
    </row>
    <row r="64" spans="1:12" ht="14.5" x14ac:dyDescent="0.35">
      <c r="A64" s="61"/>
      <c r="B64" s="52"/>
      <c r="C64" s="52"/>
      <c r="D64" s="62"/>
      <c r="E64" s="62"/>
      <c r="F64" s="72">
        <v>15</v>
      </c>
      <c r="G64" s="72"/>
      <c r="H64" s="72"/>
      <c r="I64" s="72"/>
      <c r="J64" s="72"/>
      <c r="K64" s="74"/>
      <c r="L64" s="52" t="s">
        <v>142</v>
      </c>
    </row>
    <row r="65" spans="1:12" ht="14.5" x14ac:dyDescent="0.35">
      <c r="A65" s="61"/>
      <c r="B65" s="52"/>
      <c r="C65" s="50" t="s">
        <v>61</v>
      </c>
      <c r="D65" s="50" t="s">
        <v>143</v>
      </c>
      <c r="E65" s="52" t="s">
        <v>60</v>
      </c>
      <c r="F65" s="72">
        <v>7</v>
      </c>
      <c r="G65" s="72"/>
      <c r="H65" s="72"/>
      <c r="I65" s="72"/>
      <c r="J65" s="72"/>
      <c r="K65" s="74"/>
      <c r="L65" s="50"/>
    </row>
    <row r="66" spans="1:12" ht="14.5" x14ac:dyDescent="0.35">
      <c r="A66" s="61"/>
      <c r="B66" s="52"/>
      <c r="C66" s="50" t="s">
        <v>143</v>
      </c>
      <c r="D66" s="50" t="s">
        <v>41</v>
      </c>
      <c r="E66" s="52" t="s">
        <v>60</v>
      </c>
      <c r="F66" s="72">
        <v>8</v>
      </c>
      <c r="G66" s="72"/>
      <c r="H66" s="72"/>
      <c r="I66" s="72"/>
      <c r="J66" s="72"/>
      <c r="K66" s="74"/>
      <c r="L66" s="50"/>
    </row>
    <row r="67" spans="1:12" ht="14.5" x14ac:dyDescent="0.35">
      <c r="A67" s="61"/>
      <c r="B67" s="52"/>
      <c r="C67" s="50" t="s">
        <v>41</v>
      </c>
      <c r="D67" s="50" t="s">
        <v>144</v>
      </c>
      <c r="E67" s="52" t="s">
        <v>32</v>
      </c>
      <c r="F67" s="72">
        <v>60</v>
      </c>
      <c r="G67" s="72"/>
      <c r="H67" s="72"/>
      <c r="I67" s="72"/>
      <c r="J67" s="72"/>
      <c r="K67" s="74"/>
      <c r="L67" s="50"/>
    </row>
    <row r="68" spans="1:12" ht="14.5" x14ac:dyDescent="0.35">
      <c r="A68" s="61"/>
      <c r="B68" s="52"/>
      <c r="C68" s="50" t="s">
        <v>144</v>
      </c>
      <c r="D68" s="54" t="s">
        <v>145</v>
      </c>
      <c r="E68" s="62" t="s">
        <v>146</v>
      </c>
      <c r="F68" s="72">
        <v>50</v>
      </c>
      <c r="G68" s="72"/>
      <c r="H68" s="72"/>
      <c r="I68" s="72"/>
      <c r="J68" s="72"/>
      <c r="K68" s="74"/>
      <c r="L68" s="50"/>
    </row>
    <row r="69" spans="1:12" ht="14.5" x14ac:dyDescent="0.35">
      <c r="A69" s="61"/>
      <c r="B69" s="52"/>
      <c r="C69" s="52"/>
      <c r="D69" s="62"/>
      <c r="E69" s="62"/>
      <c r="F69" s="72"/>
      <c r="G69" s="72"/>
      <c r="H69" s="72"/>
      <c r="I69" s="72"/>
      <c r="J69" s="72"/>
      <c r="K69" s="74"/>
      <c r="L69" s="50"/>
    </row>
    <row r="70" spans="1:12" ht="14.5" x14ac:dyDescent="0.35">
      <c r="A70" s="61"/>
      <c r="B70" s="52"/>
      <c r="C70" s="52"/>
      <c r="D70" s="62"/>
      <c r="E70" s="62"/>
      <c r="F70" s="72"/>
      <c r="G70" s="72"/>
      <c r="H70" s="72"/>
      <c r="I70" s="72"/>
      <c r="J70" s="72"/>
      <c r="K70" s="74"/>
      <c r="L70" s="50"/>
    </row>
    <row r="71" spans="1:12" ht="14.5" x14ac:dyDescent="0.35">
      <c r="A71" s="61"/>
      <c r="B71" s="52"/>
      <c r="C71" s="52"/>
      <c r="D71" s="62"/>
      <c r="E71" s="62"/>
      <c r="F71" s="72"/>
      <c r="G71" s="72"/>
      <c r="H71" s="72"/>
      <c r="I71" s="72"/>
      <c r="J71" s="72"/>
      <c r="K71" s="74"/>
      <c r="L71" s="50"/>
    </row>
    <row r="72" spans="1:12" ht="14.5" x14ac:dyDescent="0.35">
      <c r="A72" s="61"/>
      <c r="B72" s="52"/>
      <c r="C72" s="52"/>
      <c r="D72" s="62"/>
      <c r="E72" s="62"/>
      <c r="F72" s="72"/>
      <c r="G72" s="72"/>
      <c r="H72" s="72"/>
      <c r="I72" s="72"/>
      <c r="J72" s="72"/>
      <c r="K72" s="74"/>
      <c r="L72" s="50"/>
    </row>
    <row r="73" spans="1:12" ht="14.5" x14ac:dyDescent="0.35">
      <c r="A73" s="61"/>
      <c r="B73" s="52"/>
      <c r="C73" s="50"/>
      <c r="D73" s="50"/>
      <c r="E73" s="50"/>
      <c r="F73" s="72"/>
      <c r="G73" s="72"/>
      <c r="H73" s="72"/>
      <c r="I73" s="72"/>
      <c r="J73" s="72"/>
      <c r="K73" s="74"/>
      <c r="L73" s="50"/>
    </row>
    <row r="74" spans="1:12" ht="14.5" x14ac:dyDescent="0.35">
      <c r="A74" s="61"/>
      <c r="B74" s="52"/>
      <c r="C74" s="52"/>
      <c r="D74" s="62"/>
      <c r="E74" s="62"/>
      <c r="F74" s="72"/>
      <c r="G74" s="72"/>
      <c r="H74" s="72"/>
      <c r="I74" s="72"/>
      <c r="J74" s="72"/>
      <c r="K74" s="74"/>
      <c r="L74" s="50"/>
    </row>
    <row r="75" spans="1:12" ht="14.5" x14ac:dyDescent="0.35">
      <c r="A75" s="51"/>
      <c r="B75" s="50"/>
      <c r="C75" s="50"/>
      <c r="D75" s="50"/>
      <c r="E75" s="50"/>
      <c r="F75" s="77">
        <f t="shared" ref="F75:K75" si="0">SUM(F12:F74)</f>
        <v>1279.5</v>
      </c>
      <c r="G75" s="77">
        <f t="shared" si="0"/>
        <v>1920</v>
      </c>
      <c r="H75" s="77">
        <f t="shared" si="0"/>
        <v>510</v>
      </c>
      <c r="I75" s="77">
        <f t="shared" si="0"/>
        <v>480</v>
      </c>
      <c r="J75" s="77">
        <f t="shared" si="0"/>
        <v>480</v>
      </c>
      <c r="K75" s="77">
        <f t="shared" si="0"/>
        <v>0</v>
      </c>
      <c r="L75" s="64"/>
    </row>
    <row r="76" spans="1:12" ht="12.75" hidden="1" customHeight="1" x14ac:dyDescent="0.3">
      <c r="A76" s="50"/>
      <c r="B76" s="50"/>
      <c r="C76" s="50"/>
      <c r="D76" s="50"/>
      <c r="E76" s="50"/>
      <c r="F76" s="64"/>
      <c r="G76" s="64"/>
      <c r="H76" s="64"/>
      <c r="I76" s="64"/>
      <c r="J76" s="64"/>
      <c r="K76" s="64" t="e">
        <f>#REF!+#REF!+#REF!+K75</f>
        <v>#REF!</v>
      </c>
      <c r="L76" s="64"/>
    </row>
    <row r="77" spans="1:12" ht="14.5" x14ac:dyDescent="0.35">
      <c r="A77" s="40"/>
      <c r="B77" s="40"/>
      <c r="C77" s="40"/>
      <c r="D77" s="40"/>
      <c r="E77" s="40"/>
      <c r="F77" s="65"/>
      <c r="G77" s="221" t="s">
        <v>43</v>
      </c>
      <c r="H77" s="221"/>
      <c r="I77" s="221"/>
      <c r="J77" s="221"/>
      <c r="K77" s="222"/>
      <c r="L77" s="77">
        <f>F75+G75+K75+H75+I75+J75</f>
        <v>4669.5</v>
      </c>
    </row>
    <row r="78" spans="1:12" ht="14.5" x14ac:dyDescent="0.35">
      <c r="A78" s="40"/>
      <c r="B78" s="40"/>
      <c r="C78" s="40"/>
      <c r="D78" s="40"/>
      <c r="E78" s="40"/>
      <c r="F78" s="65"/>
      <c r="G78" s="223" t="s">
        <v>44</v>
      </c>
      <c r="H78" s="223"/>
      <c r="I78" s="223"/>
      <c r="J78" s="223"/>
      <c r="K78" s="224"/>
      <c r="L78" s="77">
        <v>4100</v>
      </c>
    </row>
    <row r="79" spans="1:12" ht="14.5" x14ac:dyDescent="0.35">
      <c r="A79" s="40"/>
      <c r="B79" s="40"/>
      <c r="C79" s="40"/>
      <c r="D79" s="40"/>
      <c r="E79" s="40"/>
      <c r="F79" s="65"/>
      <c r="G79" s="223" t="s">
        <v>43</v>
      </c>
      <c r="H79" s="223"/>
      <c r="I79" s="223"/>
      <c r="J79" s="223"/>
      <c r="K79" s="224"/>
      <c r="L79" s="77">
        <f>L78-L77</f>
        <v>-569.5</v>
      </c>
    </row>
    <row r="82" spans="1:10" x14ac:dyDescent="0.3">
      <c r="A82" s="66" t="s">
        <v>45</v>
      </c>
      <c r="D82" s="67" t="s">
        <v>46</v>
      </c>
      <c r="E82" s="67"/>
      <c r="G82" s="68" t="s">
        <v>47</v>
      </c>
      <c r="H82" s="68"/>
      <c r="I82" s="68"/>
      <c r="J82" s="68"/>
    </row>
    <row r="83" spans="1:10" x14ac:dyDescent="0.3">
      <c r="D83" s="69"/>
      <c r="E83" s="69"/>
    </row>
    <row r="84" spans="1:10" x14ac:dyDescent="0.3">
      <c r="A84" s="39" t="s">
        <v>147</v>
      </c>
      <c r="D84" s="161" t="s">
        <v>148</v>
      </c>
      <c r="E84" s="161"/>
      <c r="G84" s="39" t="s">
        <v>149</v>
      </c>
    </row>
    <row r="85" spans="1:10" x14ac:dyDescent="0.3">
      <c r="A85" s="39" t="s">
        <v>150</v>
      </c>
      <c r="D85" s="39" t="s">
        <v>151</v>
      </c>
      <c r="G85" s="39" t="s">
        <v>152</v>
      </c>
    </row>
  </sheetData>
  <mergeCells count="24">
    <mergeCell ref="L11:L12"/>
    <mergeCell ref="A11:A12"/>
    <mergeCell ref="B11:B12"/>
    <mergeCell ref="C11:C12"/>
    <mergeCell ref="D11:D12"/>
    <mergeCell ref="E11:E12"/>
    <mergeCell ref="H11:J11"/>
    <mergeCell ref="G77:K77"/>
    <mergeCell ref="G78:K78"/>
    <mergeCell ref="G79:K79"/>
    <mergeCell ref="D84:E84"/>
    <mergeCell ref="F11:F12"/>
    <mergeCell ref="G11:G12"/>
    <mergeCell ref="K11:K12"/>
    <mergeCell ref="A7:F7"/>
    <mergeCell ref="G7:L7"/>
    <mergeCell ref="A8:F8"/>
    <mergeCell ref="G8:L8"/>
    <mergeCell ref="A10:L10"/>
    <mergeCell ref="A2:L2"/>
    <mergeCell ref="A3:L3"/>
    <mergeCell ref="A4:L4"/>
    <mergeCell ref="A5:L5"/>
    <mergeCell ref="A6:K6"/>
  </mergeCells>
  <pageMargins left="0.20000000000000004" right="0.20000000000000004" top="0.75" bottom="0.75" header="0.3" footer="0.3"/>
  <pageSetup paperSize="9" scale="73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6"/>
  <sheetViews>
    <sheetView showGridLines="0" tabSelected="1" topLeftCell="A43" zoomScale="70" zoomScaleNormal="70" workbookViewId="0">
      <selection activeCell="D16" sqref="D16"/>
    </sheetView>
  </sheetViews>
  <sheetFormatPr defaultColWidth="8.7265625" defaultRowHeight="12.5" x14ac:dyDescent="0.25"/>
  <cols>
    <col min="1" max="1" width="9.7265625" style="2" customWidth="1"/>
    <col min="2" max="2" width="17.81640625" style="78" bestFit="1" customWidth="1"/>
    <col min="3" max="3" width="15.453125" style="78" customWidth="1"/>
    <col min="4" max="4" width="16" style="79" customWidth="1"/>
    <col min="5" max="5" width="11" style="3" customWidth="1"/>
    <col min="6" max="6" width="9.54296875" style="155" customWidth="1"/>
    <col min="7" max="7" width="9.7265625" style="2" bestFit="1" customWidth="1"/>
    <col min="8" max="9" width="10.7265625" style="2" customWidth="1"/>
    <col min="10" max="10" width="12.7265625" style="2" bestFit="1" customWidth="1"/>
    <col min="11" max="11" width="11.54296875" style="2" hidden="1" customWidth="1"/>
    <col min="12" max="12" width="22.54296875" style="78" customWidth="1"/>
    <col min="13" max="16384" width="8.7265625" style="2"/>
  </cols>
  <sheetData>
    <row r="1" spans="1:12" s="80" customFormat="1" ht="14.5" x14ac:dyDescent="0.35">
      <c r="A1" s="81"/>
      <c r="B1" s="82"/>
      <c r="C1" s="82"/>
      <c r="D1" s="83"/>
      <c r="E1" s="84"/>
      <c r="F1" s="147"/>
      <c r="G1" s="71"/>
      <c r="H1" s="85"/>
      <c r="I1" s="85"/>
      <c r="J1" s="85"/>
      <c r="K1" s="85"/>
      <c r="L1" s="82"/>
    </row>
    <row r="2" spans="1:12" s="80" customFormat="1" ht="21" x14ac:dyDescent="0.5">
      <c r="A2" s="165" t="s">
        <v>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</row>
    <row r="3" spans="1:12" s="80" customFormat="1" ht="15.5" x14ac:dyDescent="0.35">
      <c r="A3" s="166" t="s">
        <v>1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4" spans="1:12" s="80" customFormat="1" ht="14.5" x14ac:dyDescent="0.35">
      <c r="A4" s="167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</row>
    <row r="5" spans="1:12" s="80" customFormat="1" ht="18.5" x14ac:dyDescent="0.45">
      <c r="A5" s="168" t="s">
        <v>2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</row>
    <row r="6" spans="1:12" s="80" customFormat="1" ht="14.5" x14ac:dyDescent="0.35">
      <c r="A6" s="167"/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82"/>
    </row>
    <row r="7" spans="1:12" s="80" customFormat="1" ht="14.5" x14ac:dyDescent="0.35">
      <c r="A7" s="174" t="s">
        <v>159</v>
      </c>
      <c r="B7" s="174"/>
      <c r="C7" s="174"/>
      <c r="D7" s="174"/>
      <c r="E7" s="174"/>
      <c r="F7" s="174"/>
      <c r="G7" s="175" t="s">
        <v>157</v>
      </c>
      <c r="H7" s="175"/>
      <c r="I7" s="175"/>
      <c r="J7" s="175"/>
      <c r="K7" s="175"/>
      <c r="L7" s="175"/>
    </row>
    <row r="8" spans="1:12" s="80" customFormat="1" ht="14.5" x14ac:dyDescent="0.35">
      <c r="A8" s="174" t="s">
        <v>153</v>
      </c>
      <c r="B8" s="174"/>
      <c r="C8" s="174"/>
      <c r="D8" s="174"/>
      <c r="E8" s="174"/>
      <c r="F8" s="174"/>
      <c r="G8" s="174" t="s">
        <v>158</v>
      </c>
      <c r="H8" s="174"/>
      <c r="I8" s="174"/>
      <c r="J8" s="174"/>
      <c r="K8" s="174"/>
      <c r="L8" s="174"/>
    </row>
    <row r="9" spans="1:12" s="80" customFormat="1" ht="14.5" x14ac:dyDescent="0.35">
      <c r="A9" s="86" t="s">
        <v>154</v>
      </c>
      <c r="B9" s="87"/>
      <c r="C9" s="82"/>
      <c r="D9" s="83"/>
      <c r="E9" s="84"/>
      <c r="F9" s="147"/>
      <c r="G9" s="71"/>
      <c r="H9" s="85"/>
      <c r="I9" s="85"/>
      <c r="J9" s="85"/>
      <c r="K9" s="85"/>
      <c r="L9" s="82"/>
    </row>
    <row r="10" spans="1:12" ht="11.25" customHeight="1" x14ac:dyDescent="0.25">
      <c r="A10" s="176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</row>
    <row r="11" spans="1:12" ht="13" x14ac:dyDescent="0.3">
      <c r="A11" s="177" t="s">
        <v>8</v>
      </c>
      <c r="B11" s="186" t="s">
        <v>9</v>
      </c>
      <c r="C11" s="186" t="s">
        <v>10</v>
      </c>
      <c r="D11" s="188" t="s">
        <v>11</v>
      </c>
      <c r="E11" s="179" t="s">
        <v>12</v>
      </c>
      <c r="F11" s="181" t="s">
        <v>13</v>
      </c>
      <c r="G11" s="170" t="s">
        <v>14</v>
      </c>
      <c r="H11" s="183" t="s">
        <v>15</v>
      </c>
      <c r="I11" s="184"/>
      <c r="J11" s="185"/>
      <c r="K11" s="172" t="s">
        <v>16</v>
      </c>
      <c r="L11" s="170" t="s">
        <v>17</v>
      </c>
    </row>
    <row r="12" spans="1:12" ht="19.5" customHeight="1" thickBot="1" x14ac:dyDescent="0.3">
      <c r="A12" s="178"/>
      <c r="B12" s="187"/>
      <c r="C12" s="187"/>
      <c r="D12" s="189"/>
      <c r="E12" s="180"/>
      <c r="F12" s="182"/>
      <c r="G12" s="171"/>
      <c r="H12" s="88" t="s">
        <v>18</v>
      </c>
      <c r="I12" s="88" t="s">
        <v>19</v>
      </c>
      <c r="J12" s="88" t="s">
        <v>20</v>
      </c>
      <c r="K12" s="173"/>
      <c r="L12" s="171"/>
    </row>
    <row r="13" spans="1:12" ht="13" x14ac:dyDescent="0.25">
      <c r="A13" s="89"/>
      <c r="B13" s="90"/>
      <c r="C13" s="90"/>
      <c r="D13" s="91"/>
      <c r="E13" s="91"/>
      <c r="F13" s="156"/>
      <c r="G13" s="92"/>
      <c r="H13" s="93"/>
      <c r="I13" s="93"/>
      <c r="J13" s="93"/>
      <c r="K13" s="94"/>
      <c r="L13" s="95"/>
    </row>
    <row r="14" spans="1:12" ht="13" x14ac:dyDescent="0.25">
      <c r="A14" s="96"/>
      <c r="B14" s="97"/>
      <c r="C14" s="97"/>
      <c r="D14" s="98"/>
      <c r="E14" s="98"/>
      <c r="F14" s="148"/>
      <c r="G14" s="99"/>
      <c r="H14" s="100"/>
      <c r="I14" s="100"/>
      <c r="J14" s="100"/>
      <c r="K14" s="101"/>
      <c r="L14" s="146"/>
    </row>
    <row r="15" spans="1:12" ht="13" x14ac:dyDescent="0.25">
      <c r="A15" s="96"/>
      <c r="B15" s="97"/>
      <c r="C15" s="97"/>
      <c r="D15" s="98"/>
      <c r="E15" s="98"/>
      <c r="F15" s="148"/>
      <c r="G15" s="99"/>
      <c r="H15" s="100"/>
      <c r="I15" s="100"/>
      <c r="J15" s="100"/>
      <c r="K15" s="101"/>
      <c r="L15" s="146"/>
    </row>
    <row r="16" spans="1:12" ht="13" x14ac:dyDescent="0.25">
      <c r="A16" s="96"/>
      <c r="B16" s="97"/>
      <c r="C16" s="97"/>
      <c r="D16" s="98"/>
      <c r="E16" s="98"/>
      <c r="F16" s="148"/>
      <c r="G16" s="99"/>
      <c r="H16" s="100"/>
      <c r="I16" s="100"/>
      <c r="J16" s="100"/>
      <c r="K16" s="101"/>
      <c r="L16" s="146"/>
    </row>
    <row r="17" spans="1:12" ht="13.5" customHeight="1" x14ac:dyDescent="0.25">
      <c r="A17" s="96"/>
      <c r="B17" s="97"/>
      <c r="C17" s="97"/>
      <c r="D17" s="98"/>
      <c r="E17" s="98"/>
      <c r="F17" s="148"/>
      <c r="G17" s="99"/>
      <c r="H17" s="100"/>
      <c r="I17" s="100"/>
      <c r="J17" s="100"/>
      <c r="K17" s="101"/>
      <c r="L17" s="146"/>
    </row>
    <row r="18" spans="1:12" ht="13" x14ac:dyDescent="0.25">
      <c r="A18" s="96"/>
      <c r="B18" s="97"/>
      <c r="C18" s="97"/>
      <c r="D18" s="98"/>
      <c r="E18" s="98"/>
      <c r="F18" s="148"/>
      <c r="G18" s="99"/>
      <c r="H18" s="100"/>
      <c r="I18" s="100"/>
      <c r="J18" s="100"/>
      <c r="K18" s="101"/>
      <c r="L18" s="146"/>
    </row>
    <row r="19" spans="1:12" ht="13.5" customHeight="1" x14ac:dyDescent="0.25">
      <c r="A19" s="96"/>
      <c r="B19" s="97"/>
      <c r="C19" s="97"/>
      <c r="D19" s="98"/>
      <c r="E19" s="98"/>
      <c r="F19" s="148"/>
      <c r="G19" s="99"/>
      <c r="H19" s="100"/>
      <c r="I19" s="100"/>
      <c r="J19" s="100"/>
      <c r="K19" s="101"/>
      <c r="L19" s="146"/>
    </row>
    <row r="20" spans="1:12" ht="13" x14ac:dyDescent="0.25">
      <c r="A20" s="96"/>
      <c r="B20" s="97"/>
      <c r="C20" s="97"/>
      <c r="D20" s="98"/>
      <c r="E20" s="98"/>
      <c r="F20" s="148"/>
      <c r="G20" s="99"/>
      <c r="H20" s="100"/>
      <c r="I20" s="100"/>
      <c r="J20" s="100"/>
      <c r="K20" s="101"/>
      <c r="L20" s="146"/>
    </row>
    <row r="21" spans="1:12" ht="13" x14ac:dyDescent="0.25">
      <c r="A21" s="96"/>
      <c r="B21" s="97"/>
      <c r="C21" s="97"/>
      <c r="D21" s="98"/>
      <c r="E21" s="98"/>
      <c r="F21" s="148"/>
      <c r="G21" s="99"/>
      <c r="H21" s="100"/>
      <c r="I21" s="100"/>
      <c r="J21" s="100"/>
      <c r="K21" s="101"/>
      <c r="L21" s="146"/>
    </row>
    <row r="22" spans="1:12" ht="13" x14ac:dyDescent="0.25">
      <c r="A22" s="96"/>
      <c r="B22" s="97"/>
      <c r="C22" s="97"/>
      <c r="D22" s="98"/>
      <c r="E22" s="98"/>
      <c r="F22" s="148"/>
      <c r="G22" s="99"/>
      <c r="H22" s="100"/>
      <c r="I22" s="100"/>
      <c r="J22" s="100"/>
      <c r="K22" s="101"/>
      <c r="L22" s="146"/>
    </row>
    <row r="23" spans="1:12" ht="13" x14ac:dyDescent="0.25">
      <c r="A23" s="96"/>
      <c r="B23" s="97"/>
      <c r="C23" s="97"/>
      <c r="D23" s="98"/>
      <c r="E23" s="98"/>
      <c r="F23" s="148"/>
      <c r="G23" s="99"/>
      <c r="H23" s="100"/>
      <c r="I23" s="100"/>
      <c r="J23" s="100"/>
      <c r="K23" s="101"/>
      <c r="L23" s="146"/>
    </row>
    <row r="24" spans="1:12" ht="13" x14ac:dyDescent="0.25">
      <c r="A24" s="96"/>
      <c r="B24" s="97"/>
      <c r="C24" s="97"/>
      <c r="D24" s="98"/>
      <c r="E24" s="98"/>
      <c r="F24" s="148"/>
      <c r="G24" s="99"/>
      <c r="H24" s="100"/>
      <c r="I24" s="100"/>
      <c r="J24" s="100"/>
      <c r="K24" s="101"/>
      <c r="L24" s="146"/>
    </row>
    <row r="25" spans="1:12" ht="13" x14ac:dyDescent="0.25">
      <c r="A25" s="96"/>
      <c r="B25" s="97"/>
      <c r="C25" s="97"/>
      <c r="D25" s="98"/>
      <c r="E25" s="98"/>
      <c r="F25" s="148"/>
      <c r="G25" s="99"/>
      <c r="H25" s="100"/>
      <c r="I25" s="100"/>
      <c r="J25" s="100"/>
      <c r="K25" s="101"/>
      <c r="L25" s="146"/>
    </row>
    <row r="26" spans="1:12" ht="13" x14ac:dyDescent="0.25">
      <c r="A26" s="96"/>
      <c r="B26" s="97"/>
      <c r="C26" s="97"/>
      <c r="D26" s="98"/>
      <c r="E26" s="98"/>
      <c r="F26" s="148"/>
      <c r="G26" s="99"/>
      <c r="H26" s="100"/>
      <c r="I26" s="100"/>
      <c r="J26" s="100"/>
      <c r="K26" s="101"/>
      <c r="L26" s="146"/>
    </row>
    <row r="27" spans="1:12" ht="13" x14ac:dyDescent="0.25">
      <c r="A27" s="96"/>
      <c r="B27" s="97"/>
      <c r="C27" s="97"/>
      <c r="D27" s="98"/>
      <c r="E27" s="98"/>
      <c r="F27" s="148"/>
      <c r="G27" s="99"/>
      <c r="H27" s="100"/>
      <c r="I27" s="100"/>
      <c r="J27" s="100"/>
      <c r="K27" s="101"/>
      <c r="L27" s="146"/>
    </row>
    <row r="28" spans="1:12" ht="13" x14ac:dyDescent="0.25">
      <c r="A28" s="96"/>
      <c r="B28" s="97"/>
      <c r="C28" s="97"/>
      <c r="D28" s="98"/>
      <c r="E28" s="98"/>
      <c r="F28" s="148"/>
      <c r="G28" s="99"/>
      <c r="H28" s="100"/>
      <c r="I28" s="100"/>
      <c r="J28" s="100"/>
      <c r="K28" s="101"/>
      <c r="L28" s="146"/>
    </row>
    <row r="29" spans="1:12" ht="13" x14ac:dyDescent="0.25">
      <c r="A29" s="96"/>
      <c r="B29" s="97"/>
      <c r="C29" s="97"/>
      <c r="D29" s="98"/>
      <c r="E29" s="98"/>
      <c r="F29" s="148"/>
      <c r="G29" s="99"/>
      <c r="H29" s="100"/>
      <c r="I29" s="100"/>
      <c r="J29" s="100"/>
      <c r="K29" s="101"/>
      <c r="L29" s="146"/>
    </row>
    <row r="30" spans="1:12" ht="13" x14ac:dyDescent="0.25">
      <c r="A30" s="96"/>
      <c r="B30" s="97"/>
      <c r="C30" s="97"/>
      <c r="D30" s="98"/>
      <c r="E30" s="98"/>
      <c r="F30" s="148"/>
      <c r="G30" s="99"/>
      <c r="H30" s="100"/>
      <c r="I30" s="100"/>
      <c r="J30" s="100"/>
      <c r="K30" s="101"/>
      <c r="L30" s="146"/>
    </row>
    <row r="31" spans="1:12" ht="13" x14ac:dyDescent="0.25">
      <c r="A31" s="96"/>
      <c r="B31" s="97"/>
      <c r="C31" s="97"/>
      <c r="D31" s="98"/>
      <c r="E31" s="98"/>
      <c r="F31" s="148"/>
      <c r="G31" s="99"/>
      <c r="H31" s="100"/>
      <c r="I31" s="100"/>
      <c r="J31" s="100"/>
      <c r="K31" s="101"/>
      <c r="L31" s="146"/>
    </row>
    <row r="32" spans="1:12" ht="13" x14ac:dyDescent="0.25">
      <c r="A32" s="96"/>
      <c r="B32" s="97"/>
      <c r="C32" s="97"/>
      <c r="D32" s="98"/>
      <c r="E32" s="98"/>
      <c r="F32" s="148"/>
      <c r="G32" s="99"/>
      <c r="H32" s="100"/>
      <c r="I32" s="100"/>
      <c r="J32" s="100"/>
      <c r="K32" s="101"/>
      <c r="L32" s="146"/>
    </row>
    <row r="33" spans="1:12" ht="13" x14ac:dyDescent="0.25">
      <c r="A33" s="96"/>
      <c r="B33" s="97"/>
      <c r="C33" s="97"/>
      <c r="D33" s="98"/>
      <c r="E33" s="98"/>
      <c r="F33" s="148"/>
      <c r="G33" s="99"/>
      <c r="H33" s="100"/>
      <c r="I33" s="100"/>
      <c r="J33" s="100"/>
      <c r="K33" s="101"/>
      <c r="L33" s="146"/>
    </row>
    <row r="34" spans="1:12" ht="13" x14ac:dyDescent="0.25">
      <c r="A34" s="96"/>
      <c r="B34" s="97"/>
      <c r="C34" s="97"/>
      <c r="D34" s="98"/>
      <c r="E34" s="98"/>
      <c r="F34" s="148"/>
      <c r="G34" s="99"/>
      <c r="H34" s="100"/>
      <c r="I34" s="100"/>
      <c r="J34" s="100"/>
      <c r="K34" s="101"/>
      <c r="L34" s="146"/>
    </row>
    <row r="35" spans="1:12" ht="13.5" customHeight="1" x14ac:dyDescent="0.25">
      <c r="A35" s="96"/>
      <c r="B35" s="97"/>
      <c r="C35" s="97"/>
      <c r="D35" s="98"/>
      <c r="E35" s="98"/>
      <c r="F35" s="148"/>
      <c r="G35" s="99"/>
      <c r="H35" s="100"/>
      <c r="I35" s="100"/>
      <c r="J35" s="100"/>
      <c r="K35" s="101"/>
      <c r="L35" s="146"/>
    </row>
    <row r="36" spans="1:12" ht="13.5" customHeight="1" x14ac:dyDescent="0.25">
      <c r="A36" s="96"/>
      <c r="B36" s="97"/>
      <c r="C36" s="97"/>
      <c r="D36" s="98"/>
      <c r="E36" s="98"/>
      <c r="F36" s="148"/>
      <c r="G36" s="99"/>
      <c r="H36" s="100"/>
      <c r="I36" s="100"/>
      <c r="J36" s="100"/>
      <c r="K36" s="101"/>
      <c r="L36" s="146"/>
    </row>
    <row r="37" spans="1:12" ht="13" x14ac:dyDescent="0.25">
      <c r="A37" s="96"/>
      <c r="B37" s="97"/>
      <c r="C37" s="97"/>
      <c r="D37" s="98"/>
      <c r="E37" s="98"/>
      <c r="F37" s="148"/>
      <c r="G37" s="99"/>
      <c r="H37" s="100"/>
      <c r="I37" s="100"/>
      <c r="J37" s="100"/>
      <c r="K37" s="101"/>
      <c r="L37" s="146"/>
    </row>
    <row r="38" spans="1:12" ht="14.5" customHeight="1" x14ac:dyDescent="0.25">
      <c r="A38" s="96"/>
      <c r="B38" s="97"/>
      <c r="C38" s="97"/>
      <c r="D38" s="98"/>
      <c r="E38" s="98"/>
      <c r="F38" s="148"/>
      <c r="G38" s="99"/>
      <c r="H38" s="100"/>
      <c r="I38" s="100"/>
      <c r="J38" s="100"/>
      <c r="K38" s="101"/>
      <c r="L38" s="146"/>
    </row>
    <row r="39" spans="1:12" ht="13" x14ac:dyDescent="0.25">
      <c r="A39" s="96"/>
      <c r="B39" s="97"/>
      <c r="C39" s="97"/>
      <c r="D39" s="98"/>
      <c r="E39" s="98"/>
      <c r="F39" s="148"/>
      <c r="G39" s="99"/>
      <c r="H39" s="100"/>
      <c r="I39" s="100"/>
      <c r="J39" s="100"/>
      <c r="K39" s="101"/>
      <c r="L39" s="146"/>
    </row>
    <row r="40" spans="1:12" ht="16" customHeight="1" x14ac:dyDescent="0.25">
      <c r="A40" s="96"/>
      <c r="B40" s="97"/>
      <c r="C40" s="97"/>
      <c r="D40" s="98"/>
      <c r="E40" s="98"/>
      <c r="F40" s="148"/>
      <c r="G40" s="99"/>
      <c r="H40" s="100"/>
      <c r="I40" s="100"/>
      <c r="J40" s="100"/>
      <c r="K40" s="101"/>
      <c r="L40" s="146"/>
    </row>
    <row r="41" spans="1:12" ht="16" customHeight="1" x14ac:dyDescent="0.25">
      <c r="A41" s="96"/>
      <c r="B41" s="97"/>
      <c r="C41" s="97"/>
      <c r="D41" s="98"/>
      <c r="E41" s="98"/>
      <c r="F41" s="148"/>
      <c r="G41" s="99"/>
      <c r="H41" s="100"/>
      <c r="I41" s="100"/>
      <c r="J41" s="100"/>
      <c r="K41" s="101"/>
      <c r="L41" s="146"/>
    </row>
    <row r="42" spans="1:12" ht="16" customHeight="1" x14ac:dyDescent="0.25">
      <c r="A42" s="96"/>
      <c r="B42" s="97"/>
      <c r="C42" s="97"/>
      <c r="D42" s="98"/>
      <c r="E42" s="98"/>
      <c r="F42" s="148"/>
      <c r="G42" s="99"/>
      <c r="H42" s="100"/>
      <c r="I42" s="100"/>
      <c r="J42" s="100"/>
      <c r="K42" s="101"/>
      <c r="L42" s="146"/>
    </row>
    <row r="43" spans="1:12" ht="16" customHeight="1" x14ac:dyDescent="0.25">
      <c r="A43" s="96"/>
      <c r="B43" s="97"/>
      <c r="C43" s="97"/>
      <c r="D43" s="98"/>
      <c r="E43" s="98"/>
      <c r="F43" s="148"/>
      <c r="G43" s="99"/>
      <c r="H43" s="100"/>
      <c r="I43" s="100"/>
      <c r="J43" s="100"/>
      <c r="K43" s="101"/>
      <c r="L43" s="146"/>
    </row>
    <row r="44" spans="1:12" ht="16" customHeight="1" x14ac:dyDescent="0.25">
      <c r="A44" s="96"/>
      <c r="B44" s="97"/>
      <c r="C44" s="97"/>
      <c r="D44" s="98"/>
      <c r="E44" s="98"/>
      <c r="F44" s="148"/>
      <c r="G44" s="99"/>
      <c r="H44" s="100"/>
      <c r="I44" s="100"/>
      <c r="J44" s="100"/>
      <c r="K44" s="101"/>
      <c r="L44" s="146"/>
    </row>
    <row r="45" spans="1:12" ht="13" x14ac:dyDescent="0.25">
      <c r="A45" s="96"/>
      <c r="B45" s="97"/>
      <c r="C45" s="97"/>
      <c r="D45" s="98"/>
      <c r="E45" s="98"/>
      <c r="F45" s="148"/>
      <c r="G45" s="99"/>
      <c r="H45" s="100"/>
      <c r="I45" s="100"/>
      <c r="J45" s="100"/>
      <c r="K45" s="101"/>
      <c r="L45" s="146"/>
    </row>
    <row r="46" spans="1:12" ht="15.5" customHeight="1" x14ac:dyDescent="0.25">
      <c r="A46" s="96"/>
      <c r="B46" s="97"/>
      <c r="C46" s="97"/>
      <c r="D46" s="98"/>
      <c r="E46" s="98"/>
      <c r="F46" s="148"/>
      <c r="G46" s="99"/>
      <c r="H46" s="100"/>
      <c r="I46" s="100"/>
      <c r="J46" s="100"/>
      <c r="K46" s="101"/>
      <c r="L46" s="146"/>
    </row>
    <row r="47" spans="1:12" ht="15.5" customHeight="1" x14ac:dyDescent="0.25">
      <c r="A47" s="96"/>
      <c r="B47" s="97"/>
      <c r="C47" s="97"/>
      <c r="D47" s="98"/>
      <c r="E47" s="98"/>
      <c r="F47" s="148"/>
      <c r="G47" s="99"/>
      <c r="H47" s="100"/>
      <c r="I47" s="100"/>
      <c r="J47" s="100"/>
      <c r="K47" s="101"/>
      <c r="L47" s="146"/>
    </row>
    <row r="48" spans="1:12" ht="15.5" customHeight="1" x14ac:dyDescent="0.25">
      <c r="A48" s="96"/>
      <c r="B48" s="97"/>
      <c r="C48" s="97"/>
      <c r="D48" s="98"/>
      <c r="E48" s="98"/>
      <c r="F48" s="148"/>
      <c r="G48" s="99"/>
      <c r="H48" s="100"/>
      <c r="I48" s="100"/>
      <c r="J48" s="100"/>
      <c r="K48" s="101"/>
      <c r="L48" s="146"/>
    </row>
    <row r="49" spans="1:12" ht="15.5" customHeight="1" x14ac:dyDescent="0.25">
      <c r="A49" s="96"/>
      <c r="B49" s="97"/>
      <c r="C49" s="97"/>
      <c r="D49" s="98"/>
      <c r="E49" s="98"/>
      <c r="F49" s="148"/>
      <c r="G49" s="99"/>
      <c r="H49" s="100"/>
      <c r="I49" s="100"/>
      <c r="J49" s="100"/>
      <c r="K49" s="101"/>
      <c r="L49" s="109"/>
    </row>
    <row r="50" spans="1:12" ht="16" customHeight="1" x14ac:dyDescent="0.25">
      <c r="A50" s="96"/>
      <c r="B50" s="97"/>
      <c r="C50" s="97"/>
      <c r="D50" s="98"/>
      <c r="E50" s="98"/>
      <c r="F50" s="148"/>
      <c r="G50" s="99"/>
      <c r="H50" s="100"/>
      <c r="I50" s="100"/>
      <c r="J50" s="100"/>
      <c r="K50" s="101"/>
      <c r="L50" s="109"/>
    </row>
    <row r="51" spans="1:12" ht="13" x14ac:dyDescent="0.25">
      <c r="A51" s="96"/>
      <c r="B51" s="97"/>
      <c r="C51" s="97"/>
      <c r="D51" s="98"/>
      <c r="E51" s="98"/>
      <c r="F51" s="148"/>
      <c r="G51" s="99"/>
      <c r="H51" s="100"/>
      <c r="I51" s="100"/>
      <c r="J51" s="100"/>
      <c r="K51" s="101"/>
      <c r="L51" s="109"/>
    </row>
    <row r="52" spans="1:12" ht="15.5" customHeight="1" x14ac:dyDescent="0.25">
      <c r="A52" s="96"/>
      <c r="B52" s="97"/>
      <c r="C52" s="97"/>
      <c r="D52" s="98"/>
      <c r="E52" s="98"/>
      <c r="F52" s="148"/>
      <c r="G52" s="99"/>
      <c r="H52" s="100"/>
      <c r="I52" s="100"/>
      <c r="J52" s="100"/>
      <c r="K52" s="101"/>
      <c r="L52" s="108"/>
    </row>
    <row r="53" spans="1:12" ht="13" x14ac:dyDescent="0.25">
      <c r="A53" s="96"/>
      <c r="B53" s="97"/>
      <c r="C53" s="97"/>
      <c r="D53" s="98"/>
      <c r="E53" s="98"/>
      <c r="F53" s="148"/>
      <c r="G53" s="99"/>
      <c r="H53" s="100"/>
      <c r="I53" s="100"/>
      <c r="J53" s="100"/>
      <c r="K53" s="101"/>
      <c r="L53" s="108"/>
    </row>
    <row r="54" spans="1:12" ht="13" x14ac:dyDescent="0.25">
      <c r="A54" s="96"/>
      <c r="B54" s="97"/>
      <c r="C54" s="97"/>
      <c r="D54" s="98"/>
      <c r="E54" s="98"/>
      <c r="F54" s="148"/>
      <c r="G54" s="99"/>
      <c r="H54" s="100"/>
      <c r="I54" s="100"/>
      <c r="J54" s="100"/>
      <c r="K54" s="101"/>
      <c r="L54" s="108"/>
    </row>
    <row r="55" spans="1:12" ht="13" x14ac:dyDescent="0.25">
      <c r="A55" s="96"/>
      <c r="B55" s="97"/>
      <c r="C55" s="98"/>
      <c r="D55" s="98"/>
      <c r="E55" s="98"/>
      <c r="F55" s="148"/>
      <c r="G55" s="99"/>
      <c r="H55" s="100"/>
      <c r="I55" s="100"/>
      <c r="J55" s="100"/>
      <c r="K55" s="101"/>
      <c r="L55" s="108"/>
    </row>
    <row r="56" spans="1:12" ht="13" x14ac:dyDescent="0.25">
      <c r="A56" s="102"/>
      <c r="B56" s="103"/>
      <c r="C56" s="104"/>
      <c r="D56" s="104"/>
      <c r="E56" s="104"/>
      <c r="F56" s="149"/>
      <c r="G56" s="105"/>
      <c r="H56" s="106"/>
      <c r="I56" s="106"/>
      <c r="J56" s="106"/>
      <c r="K56" s="107"/>
      <c r="L56" s="110"/>
    </row>
    <row r="57" spans="1:12" ht="13" x14ac:dyDescent="0.3">
      <c r="A57" s="111"/>
      <c r="B57" s="112"/>
      <c r="C57" s="112"/>
      <c r="D57" s="113"/>
      <c r="E57" s="113"/>
      <c r="F57" s="150">
        <f>SUM(F13:F56)</f>
        <v>0</v>
      </c>
      <c r="G57" s="114">
        <f>SUM(G13:G56)</f>
        <v>0</v>
      </c>
      <c r="H57" s="114">
        <f>SUM(H13:H56)</f>
        <v>0</v>
      </c>
      <c r="I57" s="114">
        <f>SUM(I13:I56)</f>
        <v>0</v>
      </c>
      <c r="J57" s="114">
        <f>SUM(J13:J56)</f>
        <v>0</v>
      </c>
      <c r="K57" s="115"/>
      <c r="L57" s="116"/>
    </row>
    <row r="58" spans="1:12" ht="13" x14ac:dyDescent="0.3">
      <c r="A58" s="117"/>
      <c r="B58" s="118"/>
      <c r="C58" s="118"/>
      <c r="D58" s="119"/>
      <c r="E58" s="118"/>
      <c r="F58" s="151"/>
      <c r="G58" s="120"/>
      <c r="H58" s="121"/>
      <c r="I58" s="121"/>
      <c r="J58" s="121"/>
      <c r="K58" s="121"/>
      <c r="L58" s="122"/>
    </row>
    <row r="59" spans="1:12" ht="14.15" customHeight="1" x14ac:dyDescent="0.3">
      <c r="A59" s="123"/>
      <c r="B59" s="124"/>
      <c r="C59" s="124"/>
      <c r="D59" s="125"/>
      <c r="E59" s="42"/>
      <c r="F59" s="152"/>
      <c r="G59" s="65"/>
      <c r="H59" s="65"/>
      <c r="I59" s="65"/>
      <c r="J59" s="159" t="s">
        <v>155</v>
      </c>
      <c r="K59" s="160"/>
      <c r="L59" s="126">
        <f>SUM(F57:K57)</f>
        <v>0</v>
      </c>
    </row>
    <row r="60" spans="1:12" ht="14.15" customHeight="1" x14ac:dyDescent="0.3">
      <c r="A60" s="123"/>
      <c r="B60" s="124"/>
      <c r="C60" s="124"/>
      <c r="D60" s="125"/>
      <c r="E60" s="42"/>
      <c r="F60" s="152"/>
      <c r="G60" s="65"/>
      <c r="H60" s="65"/>
      <c r="I60" s="65"/>
      <c r="J60" s="127" t="s">
        <v>156</v>
      </c>
      <c r="K60" s="128"/>
      <c r="L60" s="129">
        <v>12100</v>
      </c>
    </row>
    <row r="61" spans="1:12" ht="14.15" customHeight="1" x14ac:dyDescent="0.3">
      <c r="A61" s="123"/>
      <c r="B61" s="124"/>
      <c r="C61" s="124"/>
      <c r="D61" s="125"/>
      <c r="E61" s="42"/>
      <c r="F61" s="152"/>
      <c r="G61" s="65"/>
      <c r="H61" s="65"/>
      <c r="I61" s="65"/>
      <c r="J61" s="130" t="str">
        <f>IF(L61&gt;0,"Return to CO", "Reimbursement")</f>
        <v>Return to CO</v>
      </c>
      <c r="K61" s="131"/>
      <c r="L61" s="132">
        <f>L60-L59</f>
        <v>12100</v>
      </c>
    </row>
    <row r="62" spans="1:12" ht="13" x14ac:dyDescent="0.3">
      <c r="A62" s="123"/>
      <c r="B62" s="124"/>
      <c r="C62" s="124"/>
      <c r="D62" s="125"/>
      <c r="E62" s="42"/>
      <c r="F62" s="152"/>
      <c r="G62" s="65"/>
      <c r="H62" s="65"/>
      <c r="I62" s="65"/>
      <c r="J62" s="65"/>
      <c r="K62" s="65"/>
      <c r="L62" s="133"/>
    </row>
    <row r="63" spans="1:12" ht="13" x14ac:dyDescent="0.3">
      <c r="A63" s="134"/>
      <c r="B63" s="124"/>
      <c r="C63" s="135"/>
      <c r="D63" s="136"/>
      <c r="E63" s="137"/>
      <c r="F63" s="153"/>
      <c r="G63" s="39"/>
      <c r="H63" s="138"/>
      <c r="I63" s="138"/>
      <c r="J63" s="138"/>
      <c r="K63" s="138"/>
      <c r="L63" s="135"/>
    </row>
    <row r="64" spans="1:12" ht="13" x14ac:dyDescent="0.3">
      <c r="A64" s="134"/>
      <c r="B64" s="135"/>
      <c r="C64" s="135"/>
      <c r="D64" s="136"/>
      <c r="E64" s="137"/>
      <c r="F64" s="153"/>
      <c r="G64" s="39"/>
      <c r="H64" s="138"/>
      <c r="I64" s="138"/>
      <c r="J64" s="138"/>
      <c r="K64" s="138"/>
      <c r="L64" s="135"/>
    </row>
    <row r="65" spans="1:12" ht="13" x14ac:dyDescent="0.3">
      <c r="A65" s="139"/>
      <c r="B65" s="135"/>
      <c r="C65" s="135"/>
      <c r="D65" s="136"/>
      <c r="E65" s="68"/>
      <c r="F65" s="153"/>
      <c r="G65" s="140"/>
      <c r="H65" s="39"/>
      <c r="I65" s="140"/>
      <c r="J65" s="141"/>
      <c r="K65" s="39"/>
      <c r="L65" s="135"/>
    </row>
    <row r="66" spans="1:12" ht="13" x14ac:dyDescent="0.3">
      <c r="A66" s="134"/>
      <c r="B66" s="161"/>
      <c r="C66" s="161"/>
      <c r="D66" s="136"/>
      <c r="E66" s="142"/>
      <c r="F66" s="154"/>
      <c r="G66" s="39"/>
      <c r="H66" s="138"/>
      <c r="I66" s="41"/>
      <c r="J66" s="162"/>
      <c r="K66" s="162"/>
      <c r="L66" s="162"/>
    </row>
    <row r="67" spans="1:12" ht="13" x14ac:dyDescent="0.3">
      <c r="A67" s="134"/>
      <c r="B67" s="135"/>
      <c r="C67" s="135"/>
      <c r="D67" s="136"/>
      <c r="E67" s="137"/>
      <c r="F67" s="153"/>
      <c r="G67" s="39"/>
      <c r="H67" s="138"/>
      <c r="I67" s="138"/>
      <c r="J67" s="138"/>
      <c r="K67" s="138"/>
      <c r="L67" s="135"/>
    </row>
    <row r="68" spans="1:12" ht="13" x14ac:dyDescent="0.3">
      <c r="A68" s="163"/>
      <c r="B68" s="163"/>
      <c r="C68" s="135"/>
      <c r="D68" s="144"/>
      <c r="E68" s="137"/>
      <c r="F68" s="164"/>
      <c r="G68" s="164"/>
      <c r="H68" s="164"/>
      <c r="I68" s="164"/>
      <c r="J68" s="138"/>
      <c r="K68" s="138"/>
      <c r="L68" s="135"/>
    </row>
    <row r="69" spans="1:12" ht="13" x14ac:dyDescent="0.3">
      <c r="A69" s="143"/>
      <c r="B69" s="143"/>
      <c r="C69" s="135"/>
      <c r="D69" s="144"/>
      <c r="E69" s="137"/>
      <c r="F69" s="145"/>
      <c r="G69" s="145"/>
      <c r="H69" s="145"/>
      <c r="I69" s="145"/>
      <c r="J69" s="138"/>
      <c r="K69" s="138"/>
      <c r="L69" s="135"/>
    </row>
    <row r="70" spans="1:12" ht="13" x14ac:dyDescent="0.3">
      <c r="A70" s="157"/>
      <c r="B70" s="157"/>
      <c r="C70" s="135"/>
      <c r="D70" s="136"/>
      <c r="E70" s="137"/>
      <c r="F70" s="158"/>
      <c r="G70" s="158"/>
      <c r="H70" s="158"/>
      <c r="I70" s="158"/>
      <c r="J70" s="138"/>
      <c r="K70" s="138"/>
      <c r="L70" s="135"/>
    </row>
    <row r="71" spans="1:12" ht="13" x14ac:dyDescent="0.3">
      <c r="A71" s="39"/>
      <c r="B71" s="135"/>
      <c r="C71" s="135"/>
      <c r="D71" s="136"/>
      <c r="E71" s="137"/>
      <c r="F71" s="153"/>
      <c r="G71" s="39"/>
      <c r="H71" s="39"/>
      <c r="I71" s="39"/>
      <c r="J71" s="39"/>
      <c r="K71" s="39"/>
      <c r="L71" s="135"/>
    </row>
    <row r="72" spans="1:12" ht="13" x14ac:dyDescent="0.3">
      <c r="A72" s="39"/>
      <c r="B72" s="135"/>
      <c r="C72" s="135"/>
      <c r="D72" s="136"/>
      <c r="E72" s="137"/>
      <c r="F72" s="153"/>
      <c r="G72" s="39"/>
      <c r="H72" s="39"/>
      <c r="I72" s="39"/>
      <c r="J72" s="39"/>
      <c r="K72" s="39"/>
      <c r="L72" s="135"/>
    </row>
    <row r="73" spans="1:12" ht="13" x14ac:dyDescent="0.3">
      <c r="A73" s="39"/>
      <c r="B73" s="135"/>
      <c r="C73" s="135"/>
      <c r="D73" s="136"/>
      <c r="E73" s="137"/>
      <c r="F73" s="153"/>
      <c r="G73" s="39"/>
      <c r="H73" s="39"/>
      <c r="I73" s="39"/>
      <c r="J73" s="39"/>
      <c r="K73" s="39"/>
      <c r="L73" s="135"/>
    </row>
    <row r="74" spans="1:12" ht="13" x14ac:dyDescent="0.3">
      <c r="A74" s="39"/>
      <c r="B74" s="135"/>
      <c r="C74" s="135"/>
      <c r="D74" s="136"/>
      <c r="E74" s="137"/>
      <c r="F74" s="153"/>
      <c r="G74" s="39"/>
      <c r="H74" s="39"/>
      <c r="I74" s="39"/>
      <c r="J74" s="39"/>
      <c r="K74" s="39"/>
      <c r="L74" s="135"/>
    </row>
    <row r="75" spans="1:12" ht="13" x14ac:dyDescent="0.3">
      <c r="A75" s="39"/>
      <c r="B75" s="135"/>
      <c r="C75" s="135"/>
      <c r="D75" s="136"/>
      <c r="E75" s="137"/>
      <c r="F75" s="153"/>
      <c r="G75" s="39"/>
      <c r="H75" s="39"/>
      <c r="I75" s="39"/>
      <c r="J75" s="39"/>
      <c r="K75" s="39"/>
      <c r="L75" s="135"/>
    </row>
    <row r="76" spans="1:12" ht="13" x14ac:dyDescent="0.3">
      <c r="A76" s="39"/>
      <c r="B76" s="135"/>
      <c r="C76" s="135"/>
      <c r="D76" s="136"/>
      <c r="E76" s="137"/>
      <c r="F76" s="153"/>
      <c r="G76" s="39"/>
      <c r="H76" s="39"/>
      <c r="I76" s="39"/>
      <c r="J76" s="39"/>
      <c r="K76" s="39"/>
      <c r="L76" s="135"/>
    </row>
  </sheetData>
  <sheetProtection formatRows="0" insertRows="0" insertHyperlinks="0" sort="0" autoFilter="0" pivotTables="0"/>
  <mergeCells count="27">
    <mergeCell ref="L11:L12"/>
    <mergeCell ref="K11:K12"/>
    <mergeCell ref="A7:F7"/>
    <mergeCell ref="G7:L7"/>
    <mergeCell ref="A8:F8"/>
    <mergeCell ref="G8:L8"/>
    <mergeCell ref="A10:L10"/>
    <mergeCell ref="A11:A12"/>
    <mergeCell ref="E11:E12"/>
    <mergeCell ref="F11:F12"/>
    <mergeCell ref="G11:G12"/>
    <mergeCell ref="H11:J11"/>
    <mergeCell ref="B11:B12"/>
    <mergeCell ref="C11:C12"/>
    <mergeCell ref="D11:D12"/>
    <mergeCell ref="A2:L2"/>
    <mergeCell ref="A3:L3"/>
    <mergeCell ref="A4:L4"/>
    <mergeCell ref="A5:L5"/>
    <mergeCell ref="A6:K6"/>
    <mergeCell ref="A70:B70"/>
    <mergeCell ref="F70:I70"/>
    <mergeCell ref="J59:K59"/>
    <mergeCell ref="B66:C66"/>
    <mergeCell ref="J66:L66"/>
    <mergeCell ref="A68:B68"/>
    <mergeCell ref="F68:I68"/>
  </mergeCells>
  <conditionalFormatting sqref="L61">
    <cfRule type="cellIs" dxfId="1" priority="1" operator="lessThan">
      <formula>0</formula>
    </cfRule>
    <cfRule type="cellIs" dxfId="0" priority="2" operator="greaterThan">
      <formula>0</formula>
    </cfRule>
  </conditionalFormatting>
  <pageMargins left="0.25" right="0.25" top="0.5" bottom="0.5" header="0.3" footer="0.3"/>
  <pageSetup paperSize="9" scale="6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leyte</vt:lpstr>
      <vt:lpstr>bacolod</vt:lpstr>
      <vt:lpstr>jonemae</vt:lpstr>
      <vt:lpstr>Liquidation TAR </vt:lpstr>
      <vt:lpstr>'Liquidation TAR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 Dabon</dc:creator>
  <cp:lastModifiedBy>Suplado04</cp:lastModifiedBy>
  <cp:revision>3</cp:revision>
  <cp:lastPrinted>2026-02-03T00:42:09Z</cp:lastPrinted>
  <dcterms:created xsi:type="dcterms:W3CDTF">2016-06-03T06:00:00Z</dcterms:created>
  <dcterms:modified xsi:type="dcterms:W3CDTF">2026-03-18T03:29:26Z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1033-10.1.0.5465</vt:lpwstr>
  </property>
</Properties>
</file>